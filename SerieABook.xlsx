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lomonkalumamcharo/Desktop/Desktop - Solomon’s MacBook Pro/Woolwich_Computing_Incorporated/Prime:Rare Cards/"/>
    </mc:Choice>
  </mc:AlternateContent>
  <xr:revisionPtr revIDLastSave="0" documentId="13_ncr:1_{EE36A1B3-0E87-1447-8752-910BA17BBCD8}" xr6:coauthVersionLast="47" xr6:coauthVersionMax="47" xr10:uidLastSave="{00000000-0000-0000-0000-000000000000}"/>
  <bookViews>
    <workbookView xWindow="0" yWindow="660" windowWidth="30240" windowHeight="17920" xr2:uid="{8241BB8E-B7B9-3649-BB80-60B5D1E09F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L2" i="1" l="1"/>
  <c r="DL3" i="1"/>
  <c r="DL4" i="1"/>
  <c r="DL5" i="1"/>
  <c r="DL6" i="1"/>
  <c r="DL7" i="1"/>
  <c r="DL8" i="1"/>
  <c r="DL9" i="1"/>
  <c r="DL10" i="1"/>
  <c r="DL11" i="1"/>
  <c r="DL12" i="1"/>
  <c r="DL13" i="1"/>
  <c r="DL14" i="1"/>
  <c r="DL15" i="1"/>
  <c r="DL16" i="1"/>
  <c r="DL17" i="1"/>
  <c r="DL18" i="1"/>
  <c r="DL19" i="1"/>
  <c r="DL20" i="1"/>
  <c r="DL21" i="1"/>
  <c r="DL22" i="1"/>
  <c r="DL23" i="1"/>
  <c r="DL24" i="1"/>
  <c r="DL25" i="1"/>
  <c r="DL26" i="1"/>
  <c r="DL27" i="1"/>
  <c r="DL28" i="1"/>
  <c r="DL29" i="1"/>
  <c r="DL30" i="1"/>
  <c r="DL31" i="1"/>
  <c r="DL32" i="1"/>
  <c r="DL33" i="1"/>
  <c r="DL34" i="1"/>
  <c r="DL35" i="1"/>
  <c r="DL36" i="1"/>
  <c r="DL37" i="1"/>
  <c r="DL38" i="1"/>
  <c r="DL39" i="1"/>
  <c r="DL40" i="1"/>
  <c r="DL41" i="1"/>
  <c r="DL42" i="1"/>
  <c r="DL43" i="1"/>
  <c r="DL44" i="1"/>
  <c r="DL45" i="1"/>
  <c r="DL46" i="1"/>
  <c r="DL47" i="1"/>
  <c r="DL48" i="1"/>
  <c r="DL49" i="1"/>
  <c r="DL50" i="1"/>
  <c r="DL51" i="1"/>
  <c r="DL52" i="1"/>
  <c r="DL53" i="1"/>
  <c r="DL54" i="1"/>
  <c r="DL55" i="1"/>
  <c r="DL56" i="1"/>
  <c r="DL57" i="1"/>
  <c r="DL58" i="1"/>
  <c r="DL59" i="1"/>
  <c r="DL60" i="1"/>
  <c r="DL61" i="1"/>
  <c r="DL62" i="1"/>
  <c r="DL63" i="1"/>
  <c r="DL64" i="1"/>
  <c r="DL65" i="1"/>
  <c r="DL66" i="1"/>
  <c r="DL67" i="1"/>
  <c r="DL68" i="1"/>
  <c r="DL69" i="1"/>
  <c r="DL70" i="1"/>
  <c r="DL71" i="1"/>
  <c r="DL72" i="1"/>
  <c r="DL73" i="1"/>
  <c r="DL74" i="1"/>
  <c r="DL75" i="1"/>
  <c r="DL76" i="1"/>
  <c r="DL77" i="1"/>
  <c r="DL78" i="1"/>
  <c r="DL79" i="1"/>
  <c r="DL80" i="1"/>
  <c r="DL81" i="1"/>
  <c r="DL82" i="1"/>
  <c r="DL83" i="1"/>
  <c r="DL84" i="1"/>
  <c r="DL85" i="1"/>
  <c r="DL86" i="1"/>
  <c r="DL87" i="1"/>
  <c r="DL88" i="1"/>
  <c r="DL89" i="1"/>
  <c r="DL90" i="1"/>
  <c r="DL91" i="1"/>
  <c r="DL92" i="1"/>
  <c r="DL93" i="1"/>
  <c r="DL94" i="1"/>
  <c r="DL95" i="1"/>
  <c r="DL96" i="1"/>
  <c r="DL97" i="1"/>
  <c r="DL98" i="1"/>
  <c r="DL99" i="1"/>
  <c r="DL100" i="1"/>
  <c r="DL101" i="1"/>
  <c r="DK2" i="1"/>
  <c r="DK3" i="1"/>
  <c r="DK4" i="1"/>
  <c r="DK5" i="1"/>
  <c r="DK6" i="1"/>
  <c r="DK7" i="1"/>
  <c r="DK8" i="1"/>
  <c r="DK9" i="1"/>
  <c r="DK10" i="1"/>
  <c r="DK11" i="1"/>
  <c r="DK12" i="1"/>
  <c r="DK13" i="1"/>
  <c r="DK14" i="1"/>
  <c r="DK15" i="1"/>
  <c r="DK16" i="1"/>
  <c r="DK17" i="1"/>
  <c r="DK18" i="1"/>
  <c r="DK19" i="1"/>
  <c r="DK20" i="1"/>
  <c r="DK21" i="1"/>
  <c r="DK22" i="1"/>
  <c r="DK23" i="1"/>
  <c r="DK24" i="1"/>
  <c r="DK25" i="1"/>
  <c r="DK26" i="1"/>
  <c r="DK27" i="1"/>
  <c r="DK28" i="1"/>
  <c r="DK29" i="1"/>
  <c r="DK30" i="1"/>
  <c r="DK31" i="1"/>
  <c r="DK32" i="1"/>
  <c r="DK33" i="1"/>
  <c r="DK34" i="1"/>
  <c r="DK35" i="1"/>
  <c r="DK36" i="1"/>
  <c r="DK37" i="1"/>
  <c r="DK38" i="1"/>
  <c r="DK39" i="1"/>
  <c r="DK40" i="1"/>
  <c r="DK41" i="1"/>
  <c r="DK42" i="1"/>
  <c r="DK43" i="1"/>
  <c r="DK44" i="1"/>
  <c r="DK45" i="1"/>
  <c r="DK46" i="1"/>
  <c r="DK47" i="1"/>
  <c r="DK48" i="1"/>
  <c r="DK49" i="1"/>
  <c r="DK50" i="1"/>
  <c r="DK51" i="1"/>
  <c r="DK52" i="1"/>
  <c r="DK53" i="1"/>
  <c r="DK54" i="1"/>
  <c r="DK55" i="1"/>
  <c r="DK56" i="1"/>
  <c r="DK57" i="1"/>
  <c r="DK58" i="1"/>
  <c r="DK59" i="1"/>
  <c r="DK60" i="1"/>
  <c r="DK61" i="1"/>
  <c r="DK62" i="1"/>
  <c r="DK63" i="1"/>
  <c r="DK64" i="1"/>
  <c r="DK65" i="1"/>
  <c r="DK66" i="1"/>
  <c r="DK67" i="1"/>
  <c r="DK68" i="1"/>
  <c r="DK69" i="1"/>
  <c r="DK70" i="1"/>
  <c r="DK71" i="1"/>
  <c r="DK72" i="1"/>
  <c r="DK73" i="1"/>
  <c r="DK74" i="1"/>
  <c r="DK75" i="1"/>
  <c r="DK76" i="1"/>
  <c r="DK77" i="1"/>
  <c r="DK78" i="1"/>
  <c r="DK79" i="1"/>
  <c r="DK80" i="1"/>
  <c r="DK81" i="1"/>
  <c r="DK82" i="1"/>
  <c r="DK83" i="1"/>
  <c r="DK84" i="1"/>
  <c r="DK85" i="1"/>
  <c r="DK86" i="1"/>
  <c r="DK87" i="1"/>
  <c r="DK88" i="1"/>
  <c r="DK89" i="1"/>
  <c r="DK90" i="1"/>
  <c r="DK91" i="1"/>
  <c r="DK92" i="1"/>
  <c r="DK93" i="1"/>
  <c r="DK94" i="1"/>
  <c r="DK95" i="1"/>
  <c r="DK96" i="1"/>
  <c r="DK97" i="1"/>
  <c r="DK98" i="1"/>
  <c r="DK99" i="1"/>
  <c r="DK100" i="1"/>
  <c r="DK101" i="1"/>
  <c r="DI4" i="1"/>
  <c r="DI3" i="1"/>
  <c r="DI2" i="1"/>
  <c r="DI5" i="1"/>
  <c r="DI6" i="1"/>
  <c r="DI7" i="1"/>
  <c r="DI8" i="1"/>
  <c r="DI9" i="1"/>
  <c r="DI10" i="1"/>
  <c r="DI11" i="1"/>
  <c r="DI12" i="1"/>
  <c r="DI13" i="1"/>
  <c r="DI14" i="1"/>
  <c r="DI15" i="1"/>
  <c r="DI16" i="1"/>
  <c r="DI17" i="1"/>
  <c r="DI18" i="1"/>
  <c r="DI19" i="1"/>
  <c r="DI20" i="1"/>
  <c r="DI21" i="1"/>
  <c r="DI22" i="1"/>
  <c r="DI23" i="1"/>
  <c r="DI24" i="1"/>
  <c r="DI25" i="1"/>
  <c r="DI26" i="1"/>
  <c r="DI27" i="1"/>
  <c r="DI28" i="1"/>
  <c r="DI29" i="1"/>
  <c r="DI30" i="1"/>
  <c r="DI31" i="1"/>
  <c r="DI32" i="1"/>
  <c r="DI33" i="1"/>
  <c r="DI34" i="1"/>
  <c r="DI35" i="1"/>
  <c r="DI36" i="1"/>
  <c r="DI37" i="1"/>
  <c r="DI38" i="1"/>
  <c r="DI39" i="1"/>
  <c r="DI40" i="1"/>
  <c r="DI41" i="1"/>
  <c r="DI42" i="1"/>
  <c r="DI43" i="1"/>
  <c r="DI44" i="1"/>
  <c r="DI45" i="1"/>
  <c r="DI46" i="1"/>
  <c r="DI47" i="1"/>
  <c r="DI48" i="1"/>
  <c r="DI49" i="1"/>
  <c r="DI50" i="1"/>
  <c r="DI51" i="1"/>
  <c r="DI52" i="1"/>
  <c r="DI53" i="1"/>
  <c r="DI54" i="1"/>
  <c r="DI55" i="1"/>
  <c r="DI56" i="1"/>
  <c r="DI57" i="1"/>
  <c r="DI58" i="1"/>
  <c r="DI59" i="1"/>
  <c r="DI60" i="1"/>
  <c r="DI61" i="1"/>
  <c r="DI62" i="1"/>
  <c r="DI63" i="1"/>
  <c r="DI64" i="1"/>
  <c r="DI65" i="1"/>
  <c r="DI66" i="1"/>
  <c r="DI67" i="1"/>
  <c r="DI68" i="1"/>
  <c r="DI69" i="1"/>
  <c r="DI70" i="1"/>
  <c r="DI71" i="1"/>
  <c r="DI72" i="1"/>
  <c r="DI73" i="1"/>
  <c r="DI74" i="1"/>
  <c r="DI75" i="1"/>
  <c r="DI76" i="1"/>
  <c r="DI77" i="1"/>
  <c r="DI78" i="1"/>
  <c r="DI79" i="1"/>
  <c r="DI80" i="1"/>
  <c r="DI81" i="1"/>
  <c r="DI82" i="1"/>
  <c r="DI83" i="1"/>
  <c r="DI84" i="1"/>
  <c r="DI85" i="1"/>
  <c r="DI86" i="1"/>
  <c r="DI87" i="1"/>
  <c r="DI88" i="1"/>
  <c r="DI89" i="1"/>
  <c r="DI90" i="1"/>
  <c r="DI91" i="1"/>
  <c r="DI92" i="1"/>
  <c r="DI93" i="1"/>
  <c r="DI94" i="1"/>
  <c r="DI95" i="1"/>
  <c r="DI96" i="1"/>
  <c r="DI97" i="1"/>
  <c r="DI98" i="1"/>
  <c r="DI99" i="1"/>
  <c r="DI100" i="1"/>
  <c r="DI101" i="1"/>
</calcChain>
</file>

<file path=xl/sharedStrings.xml><?xml version="1.0" encoding="utf-8"?>
<sst xmlns="http://schemas.openxmlformats.org/spreadsheetml/2006/main" count="4182" uniqueCount="868">
  <si>
    <t>CAM</t>
  </si>
  <si>
    <t>Brazil</t>
  </si>
  <si>
    <t>Right</t>
  </si>
  <si>
    <t>Normal (170-185)</t>
  </si>
  <si>
    <t>No</t>
  </si>
  <si>
    <t>#Acrobat</t>
  </si>
  <si>
    <t>Technical</t>
  </si>
  <si>
    <t>79+3</t>
  </si>
  <si>
    <t>83+0</t>
  </si>
  <si>
    <t>82+0</t>
  </si>
  <si>
    <t>78+3</t>
  </si>
  <si>
    <t>66+3</t>
  </si>
  <si>
    <t>62+3</t>
  </si>
  <si>
    <t>61+3</t>
  </si>
  <si>
    <t>51+3</t>
  </si>
  <si>
    <t>21+3</t>
  </si>
  <si>
    <t>81+1</t>
  </si>
  <si>
    <t>LW</t>
  </si>
  <si>
    <t>Left</t>
  </si>
  <si>
    <t>Lean (170-185)</t>
  </si>
  <si>
    <t>67+3</t>
  </si>
  <si>
    <t>74+0</t>
  </si>
  <si>
    <t>72+0</t>
  </si>
  <si>
    <t>74+3</t>
  </si>
  <si>
    <t>76+3</t>
  </si>
  <si>
    <t>75+3</t>
  </si>
  <si>
    <t>79+2</t>
  </si>
  <si>
    <t>19+3</t>
  </si>
  <si>
    <t>CDM</t>
  </si>
  <si>
    <t>73+3</t>
  </si>
  <si>
    <t>77+3</t>
  </si>
  <si>
    <t>80+1</t>
  </si>
  <si>
    <t>20+3</t>
  </si>
  <si>
    <t>CAM, ST, CM</t>
  </si>
  <si>
    <t>ST</t>
  </si>
  <si>
    <t>80+0</t>
  </si>
  <si>
    <t>81+0</t>
  </si>
  <si>
    <t>68+3</t>
  </si>
  <si>
    <t>65+3</t>
  </si>
  <si>
    <t>60+3</t>
  </si>
  <si>
    <t>16+3</t>
  </si>
  <si>
    <t>RS</t>
  </si>
  <si>
    <t>Precision Header</t>
  </si>
  <si>
    <t>77+0</t>
  </si>
  <si>
    <t>79+0</t>
  </si>
  <si>
    <t>48+3</t>
  </si>
  <si>
    <t>17+3</t>
  </si>
  <si>
    <t>RCB</t>
  </si>
  <si>
    <t>67+2</t>
  </si>
  <si>
    <t>61+0</t>
  </si>
  <si>
    <t>64+0</t>
  </si>
  <si>
    <t>62+2</t>
  </si>
  <si>
    <t>65+2</t>
  </si>
  <si>
    <t>71+2</t>
  </si>
  <si>
    <t>74+2</t>
  </si>
  <si>
    <t>RB, RM</t>
  </si>
  <si>
    <t>RB</t>
  </si>
  <si>
    <t>64+2</t>
  </si>
  <si>
    <t>68+0</t>
  </si>
  <si>
    <t>70+2</t>
  </si>
  <si>
    <t>73+2</t>
  </si>
  <si>
    <t>72+2</t>
  </si>
  <si>
    <t>78+2</t>
  </si>
  <si>
    <t>76+2</t>
  </si>
  <si>
    <t>75+2</t>
  </si>
  <si>
    <t>CAM, LM, LW, CM</t>
  </si>
  <si>
    <t>78+0</t>
  </si>
  <si>
    <t>79+1</t>
  </si>
  <si>
    <t>57+2</t>
  </si>
  <si>
    <t>52+2</t>
  </si>
  <si>
    <t>18+2</t>
  </si>
  <si>
    <t>CB</t>
  </si>
  <si>
    <t>Stocky (170-185)</t>
  </si>
  <si>
    <t>#Strength</t>
  </si>
  <si>
    <t>61+2</t>
  </si>
  <si>
    <t>17+2</t>
  </si>
  <si>
    <t>CDM, CM</t>
  </si>
  <si>
    <t>RDM</t>
  </si>
  <si>
    <t>66+2</t>
  </si>
  <si>
    <t>69+0</t>
  </si>
  <si>
    <t>78+1</t>
  </si>
  <si>
    <t>77+2</t>
  </si>
  <si>
    <t>LB, LM</t>
  </si>
  <si>
    <t>LB</t>
  </si>
  <si>
    <t>19+2</t>
  </si>
  <si>
    <t>69+2</t>
  </si>
  <si>
    <t>15+2</t>
  </si>
  <si>
    <t>80+-1</t>
  </si>
  <si>
    <t>Normal (185+)</t>
  </si>
  <si>
    <t>68+2</t>
  </si>
  <si>
    <t>RB, LB, RM</t>
  </si>
  <si>
    <t>Normal (170-)</t>
  </si>
  <si>
    <t>#Speedster</t>
  </si>
  <si>
    <t>56+2</t>
  </si>
  <si>
    <t>20+2</t>
  </si>
  <si>
    <t>RM, RW</t>
  </si>
  <si>
    <t>RM</t>
  </si>
  <si>
    <t>76+0</t>
  </si>
  <si>
    <t>77+1</t>
  </si>
  <si>
    <t>60+2</t>
  </si>
  <si>
    <t>CM, CAM</t>
  </si>
  <si>
    <t>RCM</t>
  </si>
  <si>
    <t>Long Ball Pass</t>
  </si>
  <si>
    <t>LW, LM</t>
  </si>
  <si>
    <t>LM</t>
  </si>
  <si>
    <t>63+2</t>
  </si>
  <si>
    <t>59+2</t>
  </si>
  <si>
    <t>Stocky (185+)</t>
  </si>
  <si>
    <t>73+0</t>
  </si>
  <si>
    <t>49+2</t>
  </si>
  <si>
    <t>SUB</t>
  </si>
  <si>
    <t>58+2</t>
  </si>
  <si>
    <t>LCB</t>
  </si>
  <si>
    <t>55+0</t>
  </si>
  <si>
    <t>65+0</t>
  </si>
  <si>
    <t>CAM, CM</t>
  </si>
  <si>
    <t>LCM</t>
  </si>
  <si>
    <t>60+0</t>
  </si>
  <si>
    <t>LM, LW</t>
  </si>
  <si>
    <t>75+0</t>
  </si>
  <si>
    <t>67+0</t>
  </si>
  <si>
    <t>CM, CAM, CDM</t>
  </si>
  <si>
    <t>LDM</t>
  </si>
  <si>
    <t>RW</t>
  </si>
  <si>
    <t>58+0</t>
  </si>
  <si>
    <t>59+0</t>
  </si>
  <si>
    <t>62+0</t>
  </si>
  <si>
    <t>Lean (185+)</t>
  </si>
  <si>
    <t>16+2</t>
  </si>
  <si>
    <t>Rapid</t>
  </si>
  <si>
    <t>LB, CB, LM</t>
  </si>
  <si>
    <t>63+0</t>
  </si>
  <si>
    <t>ST, CAM</t>
  </si>
  <si>
    <t>46+2</t>
  </si>
  <si>
    <t>57+0</t>
  </si>
  <si>
    <t>RB, CB, RM</t>
  </si>
  <si>
    <t>LS</t>
  </si>
  <si>
    <t>player_id</t>
  </si>
  <si>
    <t>player_url</t>
  </si>
  <si>
    <t>fifa_version</t>
  </si>
  <si>
    <t>fifa_update</t>
  </si>
  <si>
    <t>fifa_update_date</t>
  </si>
  <si>
    <t>short_name</t>
  </si>
  <si>
    <t>long_name</t>
  </si>
  <si>
    <t>player_positions</t>
  </si>
  <si>
    <t>overall</t>
  </si>
  <si>
    <t>potential</t>
  </si>
  <si>
    <t>value_eur</t>
  </si>
  <si>
    <t>wage_eur</t>
  </si>
  <si>
    <t>age</t>
  </si>
  <si>
    <t>dob</t>
  </si>
  <si>
    <t>height_cm</t>
  </si>
  <si>
    <t>weight_kg</t>
  </si>
  <si>
    <t>league_id</t>
  </si>
  <si>
    <t xml:space="preserve">league_name </t>
  </si>
  <si>
    <t>league_level</t>
  </si>
  <si>
    <t>club_team_id</t>
  </si>
  <si>
    <t>club_name</t>
  </si>
  <si>
    <t>club_position</t>
  </si>
  <si>
    <t>club_jersey_number</t>
  </si>
  <si>
    <t>club_loaned_from</t>
  </si>
  <si>
    <t>club_joined_date</t>
  </si>
  <si>
    <t>club_contract_valid_until_year</t>
  </si>
  <si>
    <t>nationality_id</t>
  </si>
  <si>
    <t>nationality_name</t>
  </si>
  <si>
    <t>nation_team_id</t>
  </si>
  <si>
    <t>nation_position</t>
  </si>
  <si>
    <t>nation_jersey_number</t>
  </si>
  <si>
    <t>preferred_foot</t>
  </si>
  <si>
    <t>weak_foot</t>
  </si>
  <si>
    <t>skill_moves</t>
  </si>
  <si>
    <t>international_reputation</t>
  </si>
  <si>
    <t>work_rate</t>
  </si>
  <si>
    <t>body_type</t>
  </si>
  <si>
    <t>real_face</t>
  </si>
  <si>
    <t>release_clause_eur</t>
  </si>
  <si>
    <t>player_tags</t>
  </si>
  <si>
    <t>player_traits</t>
  </si>
  <si>
    <t>pace</t>
  </si>
  <si>
    <t>shooting</t>
  </si>
  <si>
    <t>passing</t>
  </si>
  <si>
    <t>dribbling</t>
  </si>
  <si>
    <t>defending</t>
  </si>
  <si>
    <t>physic</t>
  </si>
  <si>
    <t>attacking_crossing</t>
  </si>
  <si>
    <t>attacking_finishing</t>
  </si>
  <si>
    <t>attacking_heading_accuracy</t>
  </si>
  <si>
    <t>attacking_short_passing</t>
  </si>
  <si>
    <t>attacking_volleys</t>
  </si>
  <si>
    <t>skill_dribbling</t>
  </si>
  <si>
    <t>skill_curve</t>
  </si>
  <si>
    <t>skill_fk_accuracy</t>
  </si>
  <si>
    <t>skill_long_passing</t>
  </si>
  <si>
    <t>skill_ball_control</t>
  </si>
  <si>
    <t>movement_acceleration</t>
  </si>
  <si>
    <t>movement_sprint_speed</t>
  </si>
  <si>
    <t>movement_agility</t>
  </si>
  <si>
    <t>movement_reactions</t>
  </si>
  <si>
    <t>movement_balance</t>
  </si>
  <si>
    <t>power_shot_power</t>
  </si>
  <si>
    <t>power_jumping</t>
  </si>
  <si>
    <t>power_stamina</t>
  </si>
  <si>
    <t>power_strength</t>
  </si>
  <si>
    <t>power_long_shots</t>
  </si>
  <si>
    <t>mentality_aggression</t>
  </si>
  <si>
    <t>mentality_interceptions</t>
  </si>
  <si>
    <t>mentality_positioning</t>
  </si>
  <si>
    <t>mentality_vision</t>
  </si>
  <si>
    <t>mentality_penalties</t>
  </si>
  <si>
    <t>mentality_composure</t>
  </si>
  <si>
    <t>defending_marking_awareness</t>
  </si>
  <si>
    <t>defending_standing_tackle</t>
  </si>
  <si>
    <t>defending_sliding_tackle</t>
  </si>
  <si>
    <t>goalkeeping_diving</t>
  </si>
  <si>
    <t>goalkeeping_handling</t>
  </si>
  <si>
    <t>goalkeeping_kicking</t>
  </si>
  <si>
    <t>goalkeeping_positioning</t>
  </si>
  <si>
    <t>goalkeeping_reflexes</t>
  </si>
  <si>
    <t>goalkeeping_speed</t>
  </si>
  <si>
    <t>ls</t>
  </si>
  <si>
    <t>st</t>
  </si>
  <si>
    <t>rs</t>
  </si>
  <si>
    <t>lw</t>
  </si>
  <si>
    <t>lf</t>
  </si>
  <si>
    <t>cf</t>
  </si>
  <si>
    <t>rf</t>
  </si>
  <si>
    <t>rw</t>
  </si>
  <si>
    <t>lam</t>
  </si>
  <si>
    <t>cam</t>
  </si>
  <si>
    <t>ram</t>
  </si>
  <si>
    <t>lm</t>
  </si>
  <si>
    <t>lcm</t>
  </si>
  <si>
    <t>cm</t>
  </si>
  <si>
    <t>rcm</t>
  </si>
  <si>
    <t>rm</t>
  </si>
  <si>
    <t>lwb</t>
  </si>
  <si>
    <t>ldm</t>
  </si>
  <si>
    <t>cdm</t>
  </si>
  <si>
    <t>rdm</t>
  </si>
  <si>
    <t>rwb</t>
  </si>
  <si>
    <t>lb</t>
  </si>
  <si>
    <t>lcb</t>
  </si>
  <si>
    <t>cb</t>
  </si>
  <si>
    <t>rcb</t>
  </si>
  <si>
    <t>rb</t>
  </si>
  <si>
    <t>gk</t>
  </si>
  <si>
    <t>player_face_url</t>
  </si>
  <si>
    <t>/player/231478/lautaro-martinez/260004/</t>
  </si>
  <si>
    <t>L. Mart√≠nez</t>
  </si>
  <si>
    <t>Lautaro Javier Mart√≠nez</t>
  </si>
  <si>
    <t>Serie A</t>
  </si>
  <si>
    <t>Inter</t>
  </si>
  <si>
    <t>Argentina</t>
  </si>
  <si>
    <t>Unique</t>
  </si>
  <si>
    <t>Yes</t>
  </si>
  <si>
    <t>#Acrobat, #Clinical finisher</t>
  </si>
  <si>
    <t>Gamechanger +, Power Shot, Precision Header, Incisive Pass, Technical, Relentless, Enforcer</t>
  </si>
  <si>
    <t>87+1</t>
  </si>
  <si>
    <t>85+0</t>
  </si>
  <si>
    <t>83+3</t>
  </si>
  <si>
    <t>82+3</t>
  </si>
  <si>
    <t>64+3</t>
  </si>
  <si>
    <t>https://cdn.sofifa.net/players/231/478/26_120.png</t>
  </si>
  <si>
    <t>/player/224232/nicolo-barella/260004/</t>
  </si>
  <si>
    <t>N. Barella</t>
  </si>
  <si>
    <t>Nicol√≤ Barella</t>
  </si>
  <si>
    <t>CM</t>
  </si>
  <si>
    <t>Italy</t>
  </si>
  <si>
    <t>Relentless +, Incisive Pass, Pinged Pass, Long Ball Pass, Jockey, Intercept, Press Proven</t>
  </si>
  <si>
    <t>80+3</t>
  </si>
  <si>
    <t>84+0</t>
  </si>
  <si>
    <t>85+2</t>
  </si>
  <si>
    <t>84+3</t>
  </si>
  <si>
    <t>86+1</t>
  </si>
  <si>
    <t>https://cdn.sofifa.net/players/224/232/26_120.png</t>
  </si>
  <si>
    <t>/player/192985/kevin-de-bruyne/260004/</t>
  </si>
  <si>
    <t>K. De Bruyne</t>
  </si>
  <si>
    <t>Kevin De Bruyne</t>
  </si>
  <si>
    <t>Napoli</t>
  </si>
  <si>
    <t>Belgium</t>
  </si>
  <si>
    <t>#Playmaker¬†, #Distance shooter, #Crosser, #Complete midfielder</t>
  </si>
  <si>
    <t>Whipped Pass +, Dead Ball, Incisive Pass, Pinged Pass, Inventive</t>
  </si>
  <si>
    <t>72+3</t>
  </si>
  <si>
    <t>69+3</t>
  </si>
  <si>
    <t>https://cdn.sofifa.net/players/192/985/26_120.png</t>
  </si>
  <si>
    <t>/player/237383/alessandro-bastoni/260004/</t>
  </si>
  <si>
    <t>A. Bastoni</t>
  </si>
  <si>
    <t>Alessandro Bastoni</t>
  </si>
  <si>
    <t>#Tactician¬†</t>
  </si>
  <si>
    <t>Pinged Pass, Long Ball Pass, Whipped Pass, Block, Relentless</t>
  </si>
  <si>
    <t>70+3</t>
  </si>
  <si>
    <t>85+3</t>
  </si>
  <si>
    <t>86+3</t>
  </si>
  <si>
    <t>18+3</t>
  </si>
  <si>
    <t>https://cdn.sofifa.net/players/237/383/26_120.png</t>
  </si>
  <si>
    <t>AC Milan</t>
  </si>
  <si>
    <t>France</t>
  </si>
  <si>
    <t>40+3</t>
  </si>
  <si>
    <t>Switzerland</t>
  </si>
  <si>
    <t>/player/208128/hakan-calhanoglu/260004/</t>
  </si>
  <si>
    <t>H. √áalhanoƒülu</t>
  </si>
  <si>
    <t>Hakan √áalhanoƒülu</t>
  </si>
  <si>
    <t>T√ºrkiye</t>
  </si>
  <si>
    <t>#Playmaker¬†, #Distance shooter, #Complete midfielder</t>
  </si>
  <si>
    <t>Incisive Pass +, Dead Ball, Long Ball Pass, Inventive, Technical, First Touch, Relentless</t>
  </si>
  <si>
    <t>81+3</t>
  </si>
  <si>
    <t>86+0</t>
  </si>
  <si>
    <t>84+2</t>
  </si>
  <si>
    <t>https://cdn.sofifa.net/players/208/128/26_120.png</t>
  </si>
  <si>
    <t>/player/211110/paulo-dybala/260004/</t>
  </si>
  <si>
    <t>P. Dybala</t>
  </si>
  <si>
    <t>Paulo Bruno Exequiel Dybala</t>
  </si>
  <si>
    <t>CAM, ST</t>
  </si>
  <si>
    <t>Roma</t>
  </si>
  <si>
    <t>RAM</t>
  </si>
  <si>
    <t>#Dribbler, #FK Specialist, #Acrobat</t>
  </si>
  <si>
    <t>Gamechanger +, Finesse Shot, Dead Ball, Incisive Pass, Inventive, Technical, First Touch</t>
  </si>
  <si>
    <t>85+1</t>
  </si>
  <si>
    <t>63+3</t>
  </si>
  <si>
    <t>53+3</t>
  </si>
  <si>
    <t>14+3</t>
  </si>
  <si>
    <t>https://cdn.sofifa.net/players/211/110/26_120.png</t>
  </si>
  <si>
    <t>/player/226268/federico-dimarco/260004/</t>
  </si>
  <si>
    <t>F. Dimarco</t>
  </si>
  <si>
    <t>Federico Dimarco</t>
  </si>
  <si>
    <t>#Crosser</t>
  </si>
  <si>
    <t>Finesse Shot, Power Shot, Dead Ball, Low Driven Shot, Whipped Pass, First Touch</t>
  </si>
  <si>
    <t>83+2</t>
  </si>
  <si>
    <t>https://cdn.sofifa.net/players/226/268/26_120.png</t>
  </si>
  <si>
    <t>/player/237238/scott-mctominay/260004/</t>
  </si>
  <si>
    <t>S. McTominay</t>
  </si>
  <si>
    <t>Scott Francis McTominay</t>
  </si>
  <si>
    <t>CM, CAM, LM</t>
  </si>
  <si>
    <t>Scotland</t>
  </si>
  <si>
    <t>Precision Header, Low Driven Shot, Incisive Pass, Aerial Fortress, Technical, Enforcer</t>
  </si>
  <si>
    <t>84+1</t>
  </si>
  <si>
    <t>https://cdn.sofifa.net/players/237/238/26_120.png</t>
  </si>
  <si>
    <t>/player/228093/marcus-thuram/260004/</t>
  </si>
  <si>
    <t>M. Thuram</t>
  </si>
  <si>
    <t>Marcus Lilian Thuram-Ulien</t>
  </si>
  <si>
    <t>Precision Header, Aerial Fortress, Rapid</t>
  </si>
  <si>
    <t>https://cdn.sofifa.net/players/228/093/26_120.png</t>
  </si>
  <si>
    <t>/player/239580/gleison-bremer-silva-nascimento/260004/</t>
  </si>
  <si>
    <t>Bremer</t>
  </si>
  <si>
    <t>Gleison Bremer Silva Nascimento</t>
  </si>
  <si>
    <t>Juventus</t>
  </si>
  <si>
    <t>Precision Header, Long Ball Pass, Block, Aerial Fortress, Bruiser</t>
  </si>
  <si>
    <t>https://cdn.sofifa.net/players/239/580/26_120.png</t>
  </si>
  <si>
    <t>Fiorentina</t>
  </si>
  <si>
    <t>Spain</t>
  </si>
  <si>
    <t>/player/222077/manuel-locatelli/260004/</t>
  </si>
  <si>
    <t>M. Locatelli</t>
  </si>
  <si>
    <t>Manuel Locatelli</t>
  </si>
  <si>
    <t>Long Ball Pass, Inventive, Jockey, Block, Anticipate, Aerial Fortress, Relentless</t>
  </si>
  <si>
    <t>71+3</t>
  </si>
  <si>
    <t>https://cdn.sofifa.net/players/222/077/26_120.png</t>
  </si>
  <si>
    <t>/player/233096/denzel-dumfries/260004/</t>
  </si>
  <si>
    <t>D. Dumfries</t>
  </si>
  <si>
    <t>Denzel Justus Morris Dumfries</t>
  </si>
  <si>
    <t>Netherlands</t>
  </si>
  <si>
    <t>Precision Header, Rapid, Quick Step, Long Throw</t>
  </si>
  <si>
    <t>https://cdn.sofifa.net/players/233/096/26_120.png</t>
  </si>
  <si>
    <t>/player/220502/mattia-zaccagni/260004/</t>
  </si>
  <si>
    <t>M. Zaccagni</t>
  </si>
  <si>
    <t>Mattia Zaccagni</t>
  </si>
  <si>
    <t>Lazio</t>
  </si>
  <si>
    <t>#Dribbler, #Acrobat</t>
  </si>
  <si>
    <t>Finesse Shot, Dead Ball, Gamechanger, Incisive Pass, Inventive, Intercept, Technical</t>
  </si>
  <si>
    <t>83+1</t>
  </si>
  <si>
    <t>https://cdn.sofifa.net/players/220/502/26_120.png</t>
  </si>
  <si>
    <t>/player/227796/christian-pulisic/260004/</t>
  </si>
  <si>
    <t>C. Pulisic</t>
  </si>
  <si>
    <t>Christian Mate Puli≈°iƒá</t>
  </si>
  <si>
    <t>RW, RM, CAM</t>
  </si>
  <si>
    <t>United States</t>
  </si>
  <si>
    <t>Dead Ball, Low Driven Shot, Incisive Pass, Quick Step</t>
  </si>
  <si>
    <t>56+3</t>
  </si>
  <si>
    <t>https://cdn.sofifa.net/players/227/796/26_120.png</t>
  </si>
  <si>
    <t>/player/192505/romelu-lukaku/260004/</t>
  </si>
  <si>
    <t>R. Lukaku</t>
  </si>
  <si>
    <t>Romelu Menama Lukaku Bolingoli</t>
  </si>
  <si>
    <t>RES</t>
  </si>
  <si>
    <t>Power Shot, Low Driven Shot, Incisive Pass, Press Proven, Enforcer</t>
  </si>
  <si>
    <t>59+3</t>
  </si>
  <si>
    <t>58+3</t>
  </si>
  <si>
    <t>https://cdn.sofifa.net/players/192/505/26_120.png</t>
  </si>
  <si>
    <t>/player/241721/rafael-da-conceicao-leao/260004/</t>
  </si>
  <si>
    <t>Rafael Le√£o</t>
  </si>
  <si>
    <t>Rafael Alexandre da Concei√ß√£o Le√£o</t>
  </si>
  <si>
    <t>Portugal</t>
  </si>
  <si>
    <t>#Speedster, #Dribbler</t>
  </si>
  <si>
    <t>Gamechanger, Incisive Pass, Rapid, Trickster, Quick Step</t>
  </si>
  <si>
    <t>https://cdn.sofifa.net/players/241/721/26_120.png</t>
  </si>
  <si>
    <t>/player/230899/ademola-lookman/260004/</t>
  </si>
  <si>
    <t>A. Lookman</t>
  </si>
  <si>
    <t>Ademola Olajade Alade Aylola Lookman</t>
  </si>
  <si>
    <t>Atalanta</t>
  </si>
  <si>
    <t>Nigeria</t>
  </si>
  <si>
    <t>#Dribbler, #Acrobat, #Clinical finisher, #Complete forward</t>
  </si>
  <si>
    <t>Dead Ball, Low Driven Shot, Gamechanger, First Touch, Quick Step</t>
  </si>
  <si>
    <t>85+-1</t>
  </si>
  <si>
    <t>82+2</t>
  </si>
  <si>
    <t>57+3</t>
  </si>
  <si>
    <t>49+3</t>
  </si>
  <si>
    <t>https://cdn.sofifa.net/players/230/899/26_120.png</t>
  </si>
  <si>
    <t>/player/199845/francesco-acerbi/260004/</t>
  </si>
  <si>
    <t>F. Acerbi</t>
  </si>
  <si>
    <t>Francesco Acerbi</t>
  </si>
  <si>
    <t>Intercept +, Precision Header, Long Ball Pass, Slide Tackle, Aerial Fortress, Bruiser</t>
  </si>
  <si>
    <t>https://cdn.sofifa.net/players/199/845/26_120.png</t>
  </si>
  <si>
    <t>/player/198176/stefan-de-vrij/260004/</t>
  </si>
  <si>
    <t>S. de Vrij</t>
  </si>
  <si>
    <t>Stefan de Vrij</t>
  </si>
  <si>
    <t>Bruiser</t>
  </si>
  <si>
    <t>https://cdn.sofifa.net/players/198/176/26_120.png</t>
  </si>
  <si>
    <t>/player/210008/adrien-rabiot/260004/</t>
  </si>
  <si>
    <t>A. Rabiot</t>
  </si>
  <si>
    <t>Adrien Rabiot-Provost</t>
  </si>
  <si>
    <t>Precision Header, First Touch, Press Proven</t>
  </si>
  <si>
    <t>81+2</t>
  </si>
  <si>
    <t>https://cdn.sofifa.net/players/210/008/26_120.png</t>
  </si>
  <si>
    <t>/player/192883/henrikh-mkhitaryan/260004/</t>
  </si>
  <si>
    <t>H. Mkhitaryan</t>
  </si>
  <si>
    <t>Henrikh Mkhitaryan</t>
  </si>
  <si>
    <t>Armenia</t>
  </si>
  <si>
    <t>Incisive Pass, Inventive, Jockey, Anticipate, Technical, Relentless</t>
  </si>
  <si>
    <t>82+1</t>
  </si>
  <si>
    <t>https://cdn.sofifa.net/players/192/883/26_120.png</t>
  </si>
  <si>
    <t>/player/177003/luka-modric/260004/</t>
  </si>
  <si>
    <t>L. Modriƒá</t>
  </si>
  <si>
    <t>Luka Modriƒá</t>
  </si>
  <si>
    <t>Croatia</t>
  </si>
  <si>
    <t>#Playmaker¬†, #Crosser, #Complete midfielder</t>
  </si>
  <si>
    <t>Incisive Pass, Long Ball Pass, Whipped Pass, Technical</t>
  </si>
  <si>
    <t>https://cdn.sofifa.net/players/177/003/26_120.png</t>
  </si>
  <si>
    <t>/player/217870/giovanni-di-lorenzo/260004/</t>
  </si>
  <si>
    <t>G. Di Lorenzo</t>
  </si>
  <si>
    <t>Giovanni Di Lorenzo</t>
  </si>
  <si>
    <t>Long Ball Pass, First Touch, Relentless</t>
  </si>
  <si>
    <t>https://cdn.sofifa.net/players/217/870/26_120.png</t>
  </si>
  <si>
    <t>/player/216435/stanislav-lobotka/260004/</t>
  </si>
  <si>
    <t>S. Lobotka</t>
  </si>
  <si>
    <t>Stanislav Lobotka</t>
  </si>
  <si>
    <t>CM, CDM</t>
  </si>
  <si>
    <t>Slovakia</t>
  </si>
  <si>
    <t>Long Ball Pass, Inventive, Anticipate, Technical, First Touch, Relentless</t>
  </si>
  <si>
    <t>https://cdn.sofifa.net/players/216/435/26_120.png</t>
  </si>
  <si>
    <t>/player/243580/lois-openda/260004/</t>
  </si>
  <si>
    <t>L. Openda</t>
  </si>
  <si>
    <t>Ikoma Lo√Øs Openda</t>
  </si>
  <si>
    <t>RB Leipzig</t>
  </si>
  <si>
    <t>Finesse Shot, Acrobatic, Low Driven Shot, Rapid, Quick Step</t>
  </si>
  <si>
    <t>55+3</t>
  </si>
  <si>
    <t>50+3</t>
  </si>
  <si>
    <t>https://cdn.sofifa.net/players/243/580/26_120.png</t>
  </si>
  <si>
    <t>/player/242458/artem-dovbyk/260004/</t>
  </si>
  <si>
    <t>A. Dovbyk</t>
  </si>
  <si>
    <t>Artem Dovbyk–î–æ–≤–±–∏–∫ –ê—Ä—Ç–µ–º –û–ª–µ–∫—Å–∞–Ω–¥—Ä–æ–≤–∏—á</t>
  </si>
  <si>
    <t>Ukraine</t>
  </si>
  <si>
    <t>52+3</t>
  </si>
  <si>
    <t>https://cdn.sofifa.net/players/242/458/26_120.png</t>
  </si>
  <si>
    <t>/player/236610/moise-kean/260004/</t>
  </si>
  <si>
    <t>M. Kean</t>
  </si>
  <si>
    <t>Moise Bioty Kean</t>
  </si>
  <si>
    <t>Chip Shot, Gamechanger, Rapid</t>
  </si>
  <si>
    <t>54+3</t>
  </si>
  <si>
    <t>https://cdn.sofifa.net/players/236/610/26_120.png</t>
  </si>
  <si>
    <t>/player/244263/amir-rrahmani/260004/</t>
  </si>
  <si>
    <t>A. Rrahmani</t>
  </si>
  <si>
    <t>Amir Kadri Rrahmani</t>
  </si>
  <si>
    <t>Kosovo</t>
  </si>
  <si>
    <t>Long Ball Pass, Block, Slide Tackle, Aerial Fortress</t>
  </si>
  <si>
    <t>https://cdn.sofifa.net/players/244/263/26_120.png</t>
  </si>
  <si>
    <t>/player/229582/gianluca-mancini/260004/</t>
  </si>
  <si>
    <t>G. Mancini</t>
  </si>
  <si>
    <t>Gianluca Mancini</t>
  </si>
  <si>
    <t>Precision Header, Intercept, Anticipate, Bruiser</t>
  </si>
  <si>
    <t>https://cdn.sofifa.net/players/229/582/26_120.png</t>
  </si>
  <si>
    <t>/player/236496/matteo-guendouzi/260004/</t>
  </si>
  <si>
    <t>M. Guendouzi</t>
  </si>
  <si>
    <t>Matt√©o Elias Kenzo Guendouzi Oli√©</t>
  </si>
  <si>
    <t>Incisive Pass, Tiki Taka, Jockey, Block, Anticipate, First Touch, Relentless</t>
  </si>
  <si>
    <t>https://cdn.sofifa.net/players/236/496/26_120.png</t>
  </si>
  <si>
    <t>/player/227236/andre-franck-zambo-anguissa/260004/</t>
  </si>
  <si>
    <t>A. Zambo Anguissa</t>
  </si>
  <si>
    <t>Andr√©-Frank Zambo Anguissa</t>
  </si>
  <si>
    <t>Cameroon</t>
  </si>
  <si>
    <t>Precision Header, Aerial Fortress, Press Proven, Relentless</t>
  </si>
  <si>
    <t>80+2</t>
  </si>
  <si>
    <t>https://cdn.sofifa.net/players/227/236/26_120.png</t>
  </si>
  <si>
    <t>/player/266866/ederson-jose-dos-santos/260004/</t>
  </si>
  <si>
    <t>√âderson</t>
  </si>
  <si>
    <t>√âderson Jos√© dos Santos Louren√ßo da Silva</t>
  </si>
  <si>
    <t>Precision Header, Incisive Pass, Long Ball Pass, Intercept, Anticipate, Aerial Fortress, Relentless</t>
  </si>
  <si>
    <t>https://cdn.sofifa.net/players/266/866/26_120.png</t>
  </si>
  <si>
    <t>/player/251470/charles-de-ketelaere/260004/</t>
  </si>
  <si>
    <t>C. De Ketelaere</t>
  </si>
  <si>
    <t>Charles De Ketelaere</t>
  </si>
  <si>
    <t>Precision Header, Low Driven Shot, Incisive Pass, Inventive, Aerial Fortress, Technical</t>
  </si>
  <si>
    <t>https://cdn.sofifa.net/players/251/470/26_120.png</t>
  </si>
  <si>
    <t>/player/233556/riccardo-orsolini/260004/</t>
  </si>
  <si>
    <t>R. Orsolini</t>
  </si>
  <si>
    <t>Riccardo Orsolini</t>
  </si>
  <si>
    <t>Bologna</t>
  </si>
  <si>
    <t>Finesse Shot, Low Driven Shot, Gamechanger, Technical</t>
  </si>
  <si>
    <t>https://cdn.sofifa.net/players/233/556/26_120.png</t>
  </si>
  <si>
    <t>/player/210935/domenico-berardi/260004/</t>
  </si>
  <si>
    <t>D. Berardi</t>
  </si>
  <si>
    <t>Domenico Berardi</t>
  </si>
  <si>
    <t>RW, RM</t>
  </si>
  <si>
    <t>Sassuolo</t>
  </si>
  <si>
    <t>Finesse Shot, Dead Ball, Gamechanger, Incisive Pass, Long Ball Pass, Inventive, Technical</t>
  </si>
  <si>
    <t>https://cdn.sofifa.net/players/210/935/26_120.png</t>
  </si>
  <si>
    <t>/player/246430/dusan-vlahovic/260004/</t>
  </si>
  <si>
    <t>D. Vlahoviƒá</t>
  </si>
  <si>
    <t>Du≈°an Vlahoviƒá–î—É—à–∞–Ω –í–ª–∞—Ö–æ–≤–∏—õ</t>
  </si>
  <si>
    <t>Serbia</t>
  </si>
  <si>
    <t>Finesse Shot, Chip Shot, Dead Ball, Low Driven Shot, Gamechanger, Press Proven, Enforcer</t>
  </si>
  <si>
    <t>https://cdn.sofifa.net/players/246/430/26_120.png</t>
  </si>
  <si>
    <t>/player/243630/jonathan-david/260004/</t>
  </si>
  <si>
    <t>J. David</t>
  </si>
  <si>
    <t>Jonathan Christian David</t>
  </si>
  <si>
    <t>Canada</t>
  </si>
  <si>
    <t>Low Driven Shot, Press Proven, Quick Step, Relentless</t>
  </si>
  <si>
    <t>https://cdn.sofifa.net/players/243/630/26_120.png</t>
  </si>
  <si>
    <t>/player/229237/manuel-akanji/260004/</t>
  </si>
  <si>
    <t>M. Akanji</t>
  </si>
  <si>
    <t>Manuel Obafemi Akanji</t>
  </si>
  <si>
    <t>Manchester City</t>
  </si>
  <si>
    <t>https://cdn.sofifa.net/players/229/237/26_120.png</t>
  </si>
  <si>
    <t>/player/215333/duvan-zapata/260004/</t>
  </si>
  <si>
    <t>D. Zapata</t>
  </si>
  <si>
    <t>Duv√°n Esteban Zapata Banguero</t>
  </si>
  <si>
    <t>Torino</t>
  </si>
  <si>
    <t>Colombia</t>
  </si>
  <si>
    <t>Power Shot, Precision Header, Aerial Fortress, Press Proven, Enforcer</t>
  </si>
  <si>
    <t>https://cdn.sofifa.net/players/215/333/26_120.png</t>
  </si>
  <si>
    <t>/player/243241/alessandro-buongiorno/260004/</t>
  </si>
  <si>
    <t>A. Buongiorno</t>
  </si>
  <si>
    <t>Alessandro Buongiorno</t>
  </si>
  <si>
    <t>Block, Intercept</t>
  </si>
  <si>
    <t>https://cdn.sofifa.net/players/243/241/26_120.png</t>
  </si>
  <si>
    <t>/player/210413/alessio-romagnoli/260004/</t>
  </si>
  <si>
    <t>A. Romagnoli</t>
  </si>
  <si>
    <t>Alessio Romagnoli</t>
  </si>
  <si>
    <t>Anticipate, Aerial Fortress, Bruiser</t>
  </si>
  <si>
    <t>https://cdn.sofifa.net/players/210/413/26_120.png</t>
  </si>
  <si>
    <t>/player/240679/teun-koopmeiners/260004/</t>
  </si>
  <si>
    <t>T. Koopmeiners</t>
  </si>
  <si>
    <t>Teun Koopmeiners</t>
  </si>
  <si>
    <t>Dead Ball</t>
  </si>
  <si>
    <t>82+-1</t>
  </si>
  <si>
    <t>https://cdn.sofifa.net/players/240/679/26_120.png</t>
  </si>
  <si>
    <t>/player/208574/filip-kostic/260004/</t>
  </si>
  <si>
    <t>F. Kostiƒá</t>
  </si>
  <si>
    <t>Filip Kostiƒá–§–∏–ª–∏–ø –ö–æ—Å—Ç–∏—õ</t>
  </si>
  <si>
    <t>LM, LB, LW</t>
  </si>
  <si>
    <t>Whipped Pass, Rapid</t>
  </si>
  <si>
    <t>https://cdn.sofifa.net/players/208/574/26_120.png</t>
  </si>
  <si>
    <t>/player/258648/carlos-augusto-zopolato-neves/260004/</t>
  </si>
  <si>
    <t>Carlos Augusto</t>
  </si>
  <si>
    <t>Carlos Augusto Zopalato Neves</t>
  </si>
  <si>
    <t>Aerial Fortress, Relentless</t>
  </si>
  <si>
    <t>https://cdn.sofifa.net/players/258/648/26_120.png</t>
  </si>
  <si>
    <t>/player/247246/khephren-thuram/260004/</t>
  </si>
  <si>
    <t>K. Thuram</t>
  </si>
  <si>
    <t>Kh√©phren Thuram-Ulien</t>
  </si>
  <si>
    <t>Pinged Pass, Press Proven, Relentless</t>
  </si>
  <si>
    <t>https://cdn.sofifa.net/players/247/246/26_120.png</t>
  </si>
  <si>
    <t>/player/239807/davide-frattesi/260004/</t>
  </si>
  <si>
    <t>D. Frattesi</t>
  </si>
  <si>
    <t>Davide Frattesi</t>
  </si>
  <si>
    <t>https://cdn.sofifa.net/players/239/807/26_120.png</t>
  </si>
  <si>
    <t>/player/261865/miguel-gutierrez-ortega/260004/</t>
  </si>
  <si>
    <t>Miguel Guti√©rrez</t>
  </si>
  <si>
    <t>Miguel Guti√©rrez Ortega</t>
  </si>
  <si>
    <t>Low Driven Shot</t>
  </si>
  <si>
    <t>https://cdn.sofifa.net/players/261/865/26_120.png</t>
  </si>
  <si>
    <t>/player/208461/marten-de-roon/260004/</t>
  </si>
  <si>
    <t>M. de Roon</t>
  </si>
  <si>
    <t>Marten Elco de Roon</t>
  </si>
  <si>
    <t>Long Ball Pass, Intercept, Aerial Fortress, Relentless</t>
  </si>
  <si>
    <t>83+-2</t>
  </si>
  <si>
    <t>https://cdn.sofifa.net/players/208/461/26_120.png</t>
  </si>
  <si>
    <t>/player/216409/matteo-politano/260004/</t>
  </si>
  <si>
    <t>M. Politano</t>
  </si>
  <si>
    <t>Matteo Politano</t>
  </si>
  <si>
    <t>Dead Ball, Gamechanger, Long Ball Pass, Whipped Pass, Inventive, Technical</t>
  </si>
  <si>
    <t>https://cdn.sofifa.net/players/216/409/26_120.png</t>
  </si>
  <si>
    <t>/player/245630/youssouf-fofana/260004/</t>
  </si>
  <si>
    <t>Y. Fofana</t>
  </si>
  <si>
    <t>Youssouf Fofana</t>
  </si>
  <si>
    <t>Incisive Pass, Jockey, Anticipate, Relentless</t>
  </si>
  <si>
    <t>https://cdn.sofifa.net/players/245/630/26_120.png</t>
  </si>
  <si>
    <t>/player/184392/matteo-darmian/260004/</t>
  </si>
  <si>
    <t>M. Darmian</t>
  </si>
  <si>
    <t>Matteo Darmian</t>
  </si>
  <si>
    <t>https://cdn.sofifa.net/players/184/392/26_120.png</t>
  </si>
  <si>
    <t>/player/202024/remo-freuler/260004/</t>
  </si>
  <si>
    <t>R. Freuler</t>
  </si>
  <si>
    <t>Remo Marco Freuler</t>
  </si>
  <si>
    <t>Block, Intercept, Anticipate, Relentless</t>
  </si>
  <si>
    <t>https://cdn.sofifa.net/players/202/024/26_120.png</t>
  </si>
  <si>
    <t>/player/232411/christopher-nkunku/260004/</t>
  </si>
  <si>
    <t>C. Nkunku</t>
  </si>
  <si>
    <t>Christopher Alan Nkunku</t>
  </si>
  <si>
    <t>CAM, LM, ST, CM</t>
  </si>
  <si>
    <t>Finesse Shot, Technical, First Touch</t>
  </si>
  <si>
    <t>https://cdn.sofifa.net/players/232/411/26_120.png</t>
  </si>
  <si>
    <t>/player/236632/david-neres-campos/260004/</t>
  </si>
  <si>
    <t>David Neres</t>
  </si>
  <si>
    <t>David Neres Campos</t>
  </si>
  <si>
    <t>Power Shot, Gamechanger, Whipped Pass, Inventive, Technical, Trickster, Quick Step</t>
  </si>
  <si>
    <t>https://cdn.sofifa.net/players/236/632/26_120.png</t>
  </si>
  <si>
    <t>/player/201153/alvaro-borja-morata-martin/260004/</t>
  </si>
  <si>
    <t>Morata</t>
  </si>
  <si>
    <t>√Ålvaro Borja Morata Mart√≠n</t>
  </si>
  <si>
    <t>Como</t>
  </si>
  <si>
    <t>Finesse Shot, Rapid, Relentless, Enforcer</t>
  </si>
  <si>
    <t>13+3</t>
  </si>
  <si>
    <t>https://cdn.sofifa.net/players/201/153/26_120.png</t>
  </si>
  <si>
    <t>/player/236403/evan-ndicka/260004/</t>
  </si>
  <si>
    <t>E. Ndicka</t>
  </si>
  <si>
    <t>Obite Evan Ndicka</t>
  </si>
  <si>
    <t>C√¥te d'Ivoire</t>
  </si>
  <si>
    <t>Block, Slide Tackle, Bruiser</t>
  </si>
  <si>
    <t>https://cdn.sofifa.net/players/236/403/26_120.png</t>
  </si>
  <si>
    <t>/player/180930/edin-dzeko/260004/</t>
  </si>
  <si>
    <t>E. D≈æeko</t>
  </si>
  <si>
    <t>Edin D≈æeko</t>
  </si>
  <si>
    <t>Bosnia and Herzegovina</t>
  </si>
  <si>
    <t>Finesse Shot, Low Driven Shot, Incisive Pass, Technical</t>
  </si>
  <si>
    <t>https://cdn.sofifa.net/players/180/930/26_120.png</t>
  </si>
  <si>
    <t>/player/232756/fikayo-tomori/260004/</t>
  </si>
  <si>
    <t>F. Tomori</t>
  </si>
  <si>
    <t>Oluwafikayomi Oluwadamilola Tomori</t>
  </si>
  <si>
    <t>England</t>
  </si>
  <si>
    <t>https://cdn.sofifa.net/players/232/756/26_120.png</t>
  </si>
  <si>
    <t>/player/228251/lorenzo-pellegrini/260004/</t>
  </si>
  <si>
    <t>L. Pellegrini</t>
  </si>
  <si>
    <t>Lorenzo Pellegrini</t>
  </si>
  <si>
    <t>Finesse Shot, Press Proven</t>
  </si>
  <si>
    <t>https://cdn.sofifa.net/players/228/251/26_120.png</t>
  </si>
  <si>
    <t>/player/213666/ruben-loftus-cheek/260004/</t>
  </si>
  <si>
    <t>R. Loftus-Cheek</t>
  </si>
  <si>
    <t>Ruben Ira Loftus-Cheek</t>
  </si>
  <si>
    <t>LAM</t>
  </si>
  <si>
    <t>Aerial Fortress, Press Proven, Enforcer</t>
  </si>
  <si>
    <t>81+-1</t>
  </si>
  <si>
    <t>https://cdn.sofifa.net/players/213/666/26_120.png</t>
  </si>
  <si>
    <t>/player/223697/robin-gosens/260004/</t>
  </si>
  <si>
    <t>R. Gosens</t>
  </si>
  <si>
    <t>Robin Everardus Gosens</t>
  </si>
  <si>
    <t>Germany</t>
  </si>
  <si>
    <t>https://cdn.sofifa.net/players/223/697/26_120.png</t>
  </si>
  <si>
    <t>/player/210406/piotr-zielinski/260004/</t>
  </si>
  <si>
    <t>P. Zieli≈Ñski</t>
  </si>
  <si>
    <t>Piotr Sebastian Zieli≈Ñski</t>
  </si>
  <si>
    <t>Poland</t>
  </si>
  <si>
    <t>https://cdn.sofifa.net/players/210/406/26_120.png</t>
  </si>
  <si>
    <t>/player/223273/mario-pasalic/260004/</t>
  </si>
  <si>
    <t>M. Pa≈°aliƒá</t>
  </si>
  <si>
    <t>Mario Pa≈°aliƒá</t>
  </si>
  <si>
    <t>Aerial Fortress</t>
  </si>
  <si>
    <t>https://cdn.sofifa.net/players/223/273/26_120.png</t>
  </si>
  <si>
    <t>/player/208268/bryan-cristante/260004/</t>
  </si>
  <si>
    <t>B. Cristante</t>
  </si>
  <si>
    <t>Bryan Cristante</t>
  </si>
  <si>
    <t>Precision Header, Aerial Fortress</t>
  </si>
  <si>
    <t>12+3</t>
  </si>
  <si>
    <t>https://cdn.sofifa.net/players/208/268/26_120.png</t>
  </si>
  <si>
    <t>/player/239380/noa-lang/260004/</t>
  </si>
  <si>
    <t>N. Lang</t>
  </si>
  <si>
    <t>Noa No√´ll Lang</t>
  </si>
  <si>
    <t>Gamechanger, Incisive Pass, Technical, First Touch, Quick Step</t>
  </si>
  <si>
    <t>https://cdn.sofifa.net/players/239/380/26_120.png</t>
  </si>
  <si>
    <t>/player/237712/valentin-castellanos/260004/</t>
  </si>
  <si>
    <t>V. Castellanos</t>
  </si>
  <si>
    <t>Valent√≠n Mariano Jos√© Castellanos Gim√©nez</t>
  </si>
  <si>
    <t>Finesse Shot, Incisive Pass, Technical</t>
  </si>
  <si>
    <t>https://cdn.sofifa.net/players/237/712/26_120.png</t>
  </si>
  <si>
    <t>/player/243593/armand-lauriente/260004/</t>
  </si>
  <si>
    <t>A. Laurient√©</t>
  </si>
  <si>
    <t>Armand Ga√´tan Laurient√©</t>
  </si>
  <si>
    <t>#Speedster, #Acrobat</t>
  </si>
  <si>
    <t>Finesse Shot, Gamechanger, Incisive Pass, Rapid, Trickster, Quick Step</t>
  </si>
  <si>
    <t>https://cdn.sofifa.net/players/243/593/26_120.png</t>
  </si>
  <si>
    <t>/player/255654/pierre-kalulu/260004/</t>
  </si>
  <si>
    <t>P. Kalulu</t>
  </si>
  <si>
    <t>Pierre Kazeye Rommel Kalulu Kyatengwa</t>
  </si>
  <si>
    <t>CB, RB</t>
  </si>
  <si>
    <t>Block</t>
  </si>
  <si>
    <t>https://cdn.sofifa.net/players/255/654/26_120.png</t>
  </si>
  <si>
    <t>/player/246242/boulaye-dia/260004/</t>
  </si>
  <si>
    <t>B. Dia</t>
  </si>
  <si>
    <t>Boulaye Dia</t>
  </si>
  <si>
    <t>Senegal</t>
  </si>
  <si>
    <t>https://cdn.sofifa.net/players/246/242/26_120.png</t>
  </si>
  <si>
    <t>/player/229668/mario-hermoso-canseco/260004/</t>
  </si>
  <si>
    <t>Mario Hermoso</t>
  </si>
  <si>
    <t>Mario Hermoso Canseco</t>
  </si>
  <si>
    <t>https://cdn.sofifa.net/players/229/668/26_120.png</t>
  </si>
  <si>
    <t>/player/266872/federico-gatti/260004/</t>
  </si>
  <si>
    <t>F. Gatti</t>
  </si>
  <si>
    <t>Federico Gatti</t>
  </si>
  <si>
    <t>Slide Tackle, Bruiser</t>
  </si>
  <si>
    <t>https://cdn.sofifa.net/players/266/872/26_120.png</t>
  </si>
  <si>
    <t>/player/246875/odilon-kossounou/260004/</t>
  </si>
  <si>
    <t>O. Kossounou</t>
  </si>
  <si>
    <t>Odilon Kossounou Kouakou</t>
  </si>
  <si>
    <t>15+3</t>
  </si>
  <si>
    <t>https://cdn.sofifa.net/players/246/875/26_120.png</t>
  </si>
  <si>
    <t>/player/220651/jose-angel-esmoris-tasende/260004/</t>
  </si>
  <si>
    <t>Angeli√±o</t>
  </si>
  <si>
    <t>Jos√© √Ångel Esmoris Tasende</t>
  </si>
  <si>
    <t>Whipped Pass, Anticipate, Relentless, Long Throw</t>
  </si>
  <si>
    <t>https://cdn.sofifa.net/players/220/651/26_120.png</t>
  </si>
  <si>
    <t>/player/250723/kouadio-manu-kone/260004/</t>
  </si>
  <si>
    <t>K. Kon√©</t>
  </si>
  <si>
    <t>Kouadio Emmanuel Boris Kon√©</t>
  </si>
  <si>
    <t>Power Shot, Pinged Pass, Technical, Relentless</t>
  </si>
  <si>
    <t>https://cdn.sofifa.net/players/250/723/26_120.png</t>
  </si>
  <si>
    <t>/player/216150/davide-zappacosta/260004/</t>
  </si>
  <si>
    <t>D. Zappacosta</t>
  </si>
  <si>
    <t>Davide Zappacosta</t>
  </si>
  <si>
    <t>LM, RM, LB</t>
  </si>
  <si>
    <t>Whipped Pass</t>
  </si>
  <si>
    <t>https://cdn.sofifa.net/players/216/150/26_120.png</t>
  </si>
  <si>
    <t>/player/258966/andrea-cambiaso/260004/</t>
  </si>
  <si>
    <t>A. Cambiaso</t>
  </si>
  <si>
    <t>Andrea Cambiaso</t>
  </si>
  <si>
    <t>LB, RB, LM</t>
  </si>
  <si>
    <t>Jockey, Anticipate, Relentless</t>
  </si>
  <si>
    <t>https://cdn.sofifa.net/players/258/966/26_120.png</t>
  </si>
  <si>
    <t>/player/255001/nicolo-rovella/260004/</t>
  </si>
  <si>
    <t>N. Rovella</t>
  </si>
  <si>
    <t>Nicol√≤ Rovella</t>
  </si>
  <si>
    <t>Incisive Pass, Inventive, Intercept, Anticipate, Relentless</t>
  </si>
  <si>
    <t>https://cdn.sofifa.net/players/255/001/26_120.png</t>
  </si>
  <si>
    <t>/player/237942/pervis-estupinan/260004/</t>
  </si>
  <si>
    <t>P. Estupi√±√°n</t>
  </si>
  <si>
    <t>Pervis Josu√© Estupi√±√°n Tenorio</t>
  </si>
  <si>
    <t>Ecuador</t>
  </si>
  <si>
    <t>https://cdn.sofifa.net/players/237/942/26_120.png</t>
  </si>
  <si>
    <t>/player/241095/nikola-vlasic/260004/</t>
  </si>
  <si>
    <t>N. Vla≈°iƒá</t>
  </si>
  <si>
    <t>Nikola Vla≈°iƒá</t>
  </si>
  <si>
    <t>CAM, LW, RW, CM</t>
  </si>
  <si>
    <t>Intercept, Technical</t>
  </si>
  <si>
    <t>https://cdn.sofifa.net/players/241/095/26_120.png</t>
  </si>
  <si>
    <t>/player/242664/alexis-saelemaekers/260004/</t>
  </si>
  <si>
    <t>A. Saelemaekers</t>
  </si>
  <si>
    <t>Alexis Jesse Saelemaekers</t>
  </si>
  <si>
    <t>RM, LM, RW</t>
  </si>
  <si>
    <t>Relentless</t>
  </si>
  <si>
    <t>https://cdn.sofifa.net/players/242/664/26_120.png</t>
  </si>
  <si>
    <t>/player/268804/mario-gila-fuentes/260004/</t>
  </si>
  <si>
    <t>Mario Gila</t>
  </si>
  <si>
    <t>Mario Gila Fuentes</t>
  </si>
  <si>
    <t>Long Ball Pass, Jockey</t>
  </si>
  <si>
    <t>https://cdn.sofifa.net/players/268/804/26_120.png</t>
  </si>
  <si>
    <t>/player/190813/stephan-el-shaarawy/260004/</t>
  </si>
  <si>
    <t>S. El Shaarawy</t>
  </si>
  <si>
    <t>Stephan Kareem El Shaarawy</t>
  </si>
  <si>
    <t>LM, LW, CAM</t>
  </si>
  <si>
    <t>https://cdn.sofifa.net/players/190/813/26_120.png</t>
  </si>
  <si>
    <t>/player/277954/kenan-yildiz/260004/</t>
  </si>
  <si>
    <t>K. Yƒ±ldƒ±z</t>
  </si>
  <si>
    <t>Kenan Yƒ±ldƒ±z</t>
  </si>
  <si>
    <t>Gamechanger, Incisive Pass, Whipped Pass, Technical</t>
  </si>
  <si>
    <t>https://cdn.sofifa.net/players/277/954/26_120.png</t>
  </si>
  <si>
    <t>/player/245152/santiago-gimenez/260004/</t>
  </si>
  <si>
    <t>S. Gim√©nez</t>
  </si>
  <si>
    <t>Santiago Tom√°s Gim√©nez</t>
  </si>
  <si>
    <t>Mexico</t>
  </si>
  <si>
    <t>https://cdn.sofifa.net/players/245/152/26_120.png</t>
  </si>
  <si>
    <t>/player/229906/leon-bailey/260004/</t>
  </si>
  <si>
    <t>L. Bailey</t>
  </si>
  <si>
    <t>Leon Patrick Bailey Butler</t>
  </si>
  <si>
    <t>Aston Villa</t>
  </si>
  <si>
    <t>Jamaica</t>
  </si>
  <si>
    <t>Quick Step</t>
  </si>
  <si>
    <t>https://cdn.sofifa.net/players/229/906/26_120.png</t>
  </si>
  <si>
    <t>/player/207993/sead-kolasinac/260004/</t>
  </si>
  <si>
    <t>S. Kola≈°inac</t>
  </si>
  <si>
    <t>Sead Kola≈°inac</t>
  </si>
  <si>
    <t>Jockey, Anticipate</t>
  </si>
  <si>
    <t>https://cdn.sofifa.net/players/207/993/26_120.png</t>
  </si>
  <si>
    <t>/player/238004/albert-gudhmundsson/260004/</t>
  </si>
  <si>
    <t>A. Gu√∞mundsson</t>
  </si>
  <si>
    <t>Albert Gu√∞mundsson</t>
  </si>
  <si>
    <t>Iceland</t>
  </si>
  <si>
    <t>https://cdn.sofifa.net/players/238/004/26_120.png</t>
  </si>
  <si>
    <t>/player/205175/arkadiusz-milik/260004/</t>
  </si>
  <si>
    <t>A. Milik</t>
  </si>
  <si>
    <t>Arkadiusz Krystian Milik</t>
  </si>
  <si>
    <t>Power Shot</t>
  </si>
  <si>
    <t>https://cdn.sofifa.net/players/205/175/26_120.png</t>
  </si>
  <si>
    <t>/player/277846/nicolas-paz-martinez/260004/</t>
  </si>
  <si>
    <t>Nico Paz</t>
  </si>
  <si>
    <t>Nicol√°s Paz Mart√≠nez</t>
  </si>
  <si>
    <t>Finesse Shot, Incisive Pass, Inventive, Technical</t>
  </si>
  <si>
    <t>https://cdn.sofifa.net/players/277/846/26_120.png</t>
  </si>
  <si>
    <t>/player/223671/stefan-posch/260004/</t>
  </si>
  <si>
    <t>S. Posch</t>
  </si>
  <si>
    <t>Stefan Posch</t>
  </si>
  <si>
    <t>Austria</t>
  </si>
  <si>
    <t>Anticipate, Bruiser</t>
  </si>
  <si>
    <t>https://cdn.sofifa.net/players/223/671/26_120.png</t>
  </si>
  <si>
    <t>/player/261050/francisco-f-da-conceicao/260004/</t>
  </si>
  <si>
    <t>Francisco Concei√ß√£o</t>
  </si>
  <si>
    <t>Francisco Fernandes da Concei√ß√£o</t>
  </si>
  <si>
    <t>CAM, RM, RW, CM</t>
  </si>
  <si>
    <t>Finesse Shot, Technical, Quick Step</t>
  </si>
  <si>
    <t>https://cdn.sofifa.net/players/261/050/26_120.png</t>
  </si>
  <si>
    <t>/player/239763/edon-zhegrova/260004/</t>
  </si>
  <si>
    <t>E. Zhegrova</t>
  </si>
  <si>
    <t>Edon Zhegrova</t>
  </si>
  <si>
    <t>Finesse Shot, Gamechanger, Whipped Pass, Technical, First Touch</t>
  </si>
  <si>
    <t>https://cdn.sofifa.net/players/239/763/26_120.png</t>
  </si>
  <si>
    <t>/player/226710/gianluca-scamacca/260004/</t>
  </si>
  <si>
    <t>G. Scamacca</t>
  </si>
  <si>
    <t>Gianluca Scamacca</t>
  </si>
  <si>
    <t>#Aerial threat</t>
  </si>
  <si>
    <t>Enforcer</t>
  </si>
  <si>
    <t>https://cdn.sofifa.net/players/226/710/26_120.png</t>
  </si>
  <si>
    <t>/player/208165/berat-djimsiti/260004/</t>
  </si>
  <si>
    <t>B. Djimsiti</t>
  </si>
  <si>
    <t>Berat Ridvan Gjimshiti</t>
  </si>
  <si>
    <t>Albania</t>
  </si>
  <si>
    <t>Long Ball Pass, Intercept, Aerial Fortress</t>
  </si>
  <si>
    <t>https://cdn.sofifa.net/players/208/165/26_120.png</t>
  </si>
  <si>
    <t>/player/238744/weston-mckennie/260004/</t>
  </si>
  <si>
    <t>W. McKennie</t>
  </si>
  <si>
    <t>Weston James Earl McKennie</t>
  </si>
  <si>
    <t>CM, CDM, CAM</t>
  </si>
  <si>
    <t>Incisive Pass, Aerial Fortress, Long Throw</t>
  </si>
  <si>
    <t>https://cdn.sofifa.net/players/238/744/26_120.png</t>
  </si>
  <si>
    <t>/player/242280/lewis-ferguson/260004/</t>
  </si>
  <si>
    <t>L. Ferguson</t>
  </si>
  <si>
    <t>Lewis Ferguson</t>
  </si>
  <si>
    <t>https://cdn.sofifa.net/players/242/280/26_120.png</t>
  </si>
  <si>
    <t>/player/201389/cristiano-biraghi/260004/</t>
  </si>
  <si>
    <t>C. Biraghi</t>
  </si>
  <si>
    <t>Cristiano Biraghi</t>
  </si>
  <si>
    <t>Dead Ball, Long Throw</t>
  </si>
  <si>
    <t>https://cdn.sofifa.net/players/201/389/26_120.png</t>
  </si>
  <si>
    <t>/player/251530/nuno-albertino-varela-tavares/260004/</t>
  </si>
  <si>
    <t>Nuno Tavares</t>
  </si>
  <si>
    <t>Nuno Albertino Varela Tavares</t>
  </si>
  <si>
    <t>Whipped Pass, Anticipate, Rapid, Quick Step, Long Throw</t>
  </si>
  <si>
    <t>https://cdn.sofifa.net/players/251/530/26_120.png</t>
  </si>
  <si>
    <t>/player/202884/leonardo-spinazzola/260004/</t>
  </si>
  <si>
    <t>L. Spinazzola</t>
  </si>
  <si>
    <t>Leonardo Spinazzola</t>
  </si>
  <si>
    <t>https://cdn.sofifa.net/players/202/884/26_120.png</t>
  </si>
  <si>
    <t>/player/224031/adam-marusic/260004/</t>
  </si>
  <si>
    <t>A. Maru≈°iƒá</t>
  </si>
  <si>
    <t>Adam Maru≈°iƒá–ê–¥–∞–º –ú–∞—Ä—É—à–∏—õ</t>
  </si>
  <si>
    <t>Montenegro</t>
  </si>
  <si>
    <t>Rapid, Quick Step</t>
  </si>
  <si>
    <t>https://cdn.sofifa.net/players/224/031/26_120.png</t>
  </si>
  <si>
    <t>Defender</t>
  </si>
  <si>
    <t>Midfielder</t>
  </si>
  <si>
    <t>mcharo_fender_ln_price</t>
  </si>
  <si>
    <t>Finesse_Shot</t>
  </si>
  <si>
    <t>develle_mcharo_passing</t>
  </si>
  <si>
    <t>mcharo_develle_ln_price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</si>
</sst>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164" formatCode="0.0"/>
    </dxf>
    <dxf>
      <numFmt numFmtId="19" formatCode="m/d/yy"/>
    </dxf>
    <dxf>
      <numFmt numFmtId="19" formatCode="m/d/yy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516932-BF35-AB46-BB78-4EE644947E92}" name="Table1" displayName="Table1" ref="A1:DL101" totalsRowShown="0">
  <autoFilter ref="A1:DL101" xr:uid="{C4516932-BF35-AB46-BB78-4EE644947E92}"/>
  <tableColumns count="116">
    <tableColumn id="1" xr3:uid="{85B23AFD-1DB8-4842-AD9A-92BE88FD3427}" name="player_id"/>
    <tableColumn id="2" xr3:uid="{08C8C578-E1A3-3648-B6AC-D2977C383186}" name="player_url"/>
    <tableColumn id="3" xr3:uid="{F9747B7A-03E9-554F-B763-7D96085A2EC9}" name="fifa_version"/>
    <tableColumn id="4" xr3:uid="{34A9B9AB-9F21-604C-92B9-4E84DEFAE6BF}" name="fifa_update"/>
    <tableColumn id="5" xr3:uid="{C6FC4A66-7164-2A44-A88A-684C4F6D78D5}" name="fifa_update_date" dataDxfId="5"/>
    <tableColumn id="6" xr3:uid="{66A5D89A-0471-CF4D-A505-E1C39E4780BC}" name="short_name"/>
    <tableColumn id="115" xr3:uid="{03F078E7-7A85-7A43-96C9-2C3EB658B846}" name="Defender"/>
    <tableColumn id="114" xr3:uid="{E1EC0CD0-A474-7B43-9232-37F69714ECEF}" name="Midfielder"/>
    <tableColumn id="7" xr3:uid="{27D87DED-15F8-674E-B2E0-5CD6B3FDE71C}" name="long_name"/>
    <tableColumn id="8" xr3:uid="{C6096959-36D2-FD4C-A435-15968E386B28}" name="player_positions"/>
    <tableColumn id="9" xr3:uid="{B24451C2-E98E-F643-8D9F-7BB4B0591196}" name="overall"/>
    <tableColumn id="10" xr3:uid="{5E3AEA02-5700-D742-8618-385BCB2AD4B1}" name="potential"/>
    <tableColumn id="11" xr3:uid="{4ADB9E48-A383-7643-845C-E6C63E39F51D}" name="value_eur"/>
    <tableColumn id="12" xr3:uid="{0D67B3DC-E836-FD48-BDC7-28C02C4C458C}" name="wage_eur"/>
    <tableColumn id="13" xr3:uid="{E95E9085-AAD5-2E4D-85BF-3467767A1E85}" name="age"/>
    <tableColumn id="14" xr3:uid="{DA776153-FE84-DD4B-BF1C-4B70651D7245}" name="dob" dataDxfId="4"/>
    <tableColumn id="15" xr3:uid="{D7F3FAEC-2672-A846-A471-3BFA569FCC40}" name="height_cm"/>
    <tableColumn id="16" xr3:uid="{0CD9B065-227D-664E-A88E-3BA32208DDC3}" name="weight_kg"/>
    <tableColumn id="17" xr3:uid="{21713332-16B4-1247-A235-437185337F08}" name="league_id"/>
    <tableColumn id="18" xr3:uid="{D1274B0E-8E0C-604F-9FD7-C2EF1DFB35AD}" name="league_name "/>
    <tableColumn id="19" xr3:uid="{7E2F40BE-209F-A240-A855-5B7DAC11D01F}" name="league_level"/>
    <tableColumn id="20" xr3:uid="{866D4958-6D45-164D-A3A6-636B3ECA8F12}" name="club_team_id"/>
    <tableColumn id="21" xr3:uid="{A5D7794D-7DC1-F943-BD51-9FCE31A48ED9}" name="club_name"/>
    <tableColumn id="22" xr3:uid="{E61963D0-E26B-3A4B-8EFE-8DC20920C14A}" name="club_position"/>
    <tableColumn id="23" xr3:uid="{24B78E99-CD82-EE44-8731-0B3EFE56A380}" name="club_jersey_number"/>
    <tableColumn id="24" xr3:uid="{9E8971F7-4352-3441-B3B3-4005E13F8CE9}" name="club_loaned_from"/>
    <tableColumn id="25" xr3:uid="{9084F5E4-1614-BF41-9ECF-A6AE318C8224}" name="club_joined_date" dataDxfId="3"/>
    <tableColumn id="26" xr3:uid="{1D719DB8-A3CE-F741-8AE8-21945BFA8768}" name="club_contract_valid_until_year"/>
    <tableColumn id="27" xr3:uid="{1C639A62-8B4A-9842-8178-4F66B6E6D8C3}" name="nationality_id"/>
    <tableColumn id="28" xr3:uid="{523B063C-B85B-034B-864B-A3DA738ECB2C}" name="nationality_name"/>
    <tableColumn id="29" xr3:uid="{43A4C0F2-895D-4443-8332-699832396ED9}" name="nation_team_id"/>
    <tableColumn id="30" xr3:uid="{C00B04EE-A6C0-2248-A753-6176E7F475C5}" name="nation_position"/>
    <tableColumn id="31" xr3:uid="{CB70B182-A81F-4F4E-81C3-33748E65AE8F}" name="nation_jersey_number"/>
    <tableColumn id="32" xr3:uid="{F62A4038-77A7-3B47-BEC7-157C6963D90D}" name="preferred_foot"/>
    <tableColumn id="33" xr3:uid="{6CD74DB9-812B-4340-B28A-56F80117CF2E}" name="weak_foot"/>
    <tableColumn id="34" xr3:uid="{3ED4B257-9E47-C640-AA78-CE82933FD994}" name="skill_moves"/>
    <tableColumn id="35" xr3:uid="{FB66364D-43EE-7F4F-ABC9-862CA04C8854}" name="international_reputation"/>
    <tableColumn id="36" xr3:uid="{447C4073-6DEC-3C45-B4E8-49F58C8E0C0C}" name="work_rate"/>
    <tableColumn id="37" xr3:uid="{73D51D7F-037D-EA44-8A47-0D0837BAC627}" name="body_type"/>
    <tableColumn id="38" xr3:uid="{7FF4D9BA-F6FA-B447-971C-E86ED1460DEC}" name="real_face"/>
    <tableColumn id="39" xr3:uid="{22F5E42E-1173-0047-9777-175E78268A2B}" name="release_clause_eur"/>
    <tableColumn id="40" xr3:uid="{A59477A7-810E-E048-BD87-EB90BEC7D1AC}" name="player_tags"/>
    <tableColumn id="118" xr3:uid="{36D4001C-66D2-494A-8DEF-1BA9CAFA6693}" name="Finesse_Shot"/>
    <tableColumn id="41" xr3:uid="{D1E9A7F4-DBB4-8A47-89CD-3E238CBAF7A8}" name="player_traits"/>
    <tableColumn id="42" xr3:uid="{41411B17-6E30-204A-B138-96F23629D761}" name="pace"/>
    <tableColumn id="43" xr3:uid="{847C07AC-7280-5B4B-955E-39487C23549D}" name="shooting"/>
    <tableColumn id="44" xr3:uid="{624827BC-F6B9-CB42-97F8-A7D32CACF192}" name="passing"/>
    <tableColumn id="45" xr3:uid="{0FBF4529-7DA1-8B4C-9BC5-5BADCC7A971A}" name="dribbling"/>
    <tableColumn id="46" xr3:uid="{BB735FF3-87D8-334E-B85F-4E08AB98E401}" name="defending"/>
    <tableColumn id="47" xr3:uid="{38FCF050-E424-4E4D-B376-C56AD7338F66}" name="physic"/>
    <tableColumn id="48" xr3:uid="{07F8B62B-6FD7-8D45-A41E-7FD0D9E00FCE}" name="attacking_crossing"/>
    <tableColumn id="49" xr3:uid="{2F3C9A0C-8556-D044-B20A-9DE00B125CEE}" name="attacking_finishing"/>
    <tableColumn id="50" xr3:uid="{F5452D42-BAB5-B541-AAF1-78E8E4D8CC59}" name="attacking_heading_accuracy"/>
    <tableColumn id="51" xr3:uid="{9A3C006B-1C5B-6745-A9CB-24C7C569DD9B}" name="attacking_short_passing"/>
    <tableColumn id="52" xr3:uid="{EEFC546D-C192-5F47-9566-0ADB9DF60792}" name="attacking_volleys"/>
    <tableColumn id="53" xr3:uid="{3D0FD4E1-E1B8-B149-99DB-D9D5D152149E}" name="skill_dribbling"/>
    <tableColumn id="54" xr3:uid="{18123B5E-5038-6243-A0FE-A320A6D5A828}" name="skill_curve"/>
    <tableColumn id="55" xr3:uid="{CF356AAB-44D8-7D4C-81C8-08A61CF66DFB}" name="skill_fk_accuracy"/>
    <tableColumn id="56" xr3:uid="{ED95041E-8FB5-904A-AFE7-CCBCFE1C1FC6}" name="skill_long_passing"/>
    <tableColumn id="57" xr3:uid="{34767699-3300-1C41-920D-81045079FAFF}" name="skill_ball_control"/>
    <tableColumn id="58" xr3:uid="{6BE06E62-F5A5-F24B-A40D-2753A75696AB}" name="movement_acceleration"/>
    <tableColumn id="59" xr3:uid="{CAD5953C-CA7A-2541-A088-385763CD5D49}" name="movement_sprint_speed"/>
    <tableColumn id="60" xr3:uid="{15C4FD7D-41A4-E549-8C1C-41CD2D685380}" name="movement_agility"/>
    <tableColumn id="61" xr3:uid="{AF7E0B2E-293E-7C41-9786-4255ACF70F05}" name="movement_reactions"/>
    <tableColumn id="62" xr3:uid="{2C0A0AF3-A0C7-7744-B4B9-52BC657632E9}" name="movement_balance"/>
    <tableColumn id="63" xr3:uid="{702C2215-2455-5046-B76D-6D7EFF615800}" name="power_shot_power"/>
    <tableColumn id="64" xr3:uid="{018D737B-ABBF-564F-B8D0-782FE9C46919}" name="power_jumping"/>
    <tableColumn id="65" xr3:uid="{1395F0CB-A5C1-3645-82B1-9615F793E2BD}" name="power_stamina"/>
    <tableColumn id="66" xr3:uid="{89B670F8-E8DE-F14B-9E14-A7791B28D5D0}" name="power_strength"/>
    <tableColumn id="67" xr3:uid="{19E81B11-20FD-1F4D-973A-36544DF9CB98}" name="power_long_shots"/>
    <tableColumn id="68" xr3:uid="{0A698450-3F82-E44D-A7CC-FC1EE4E7F83D}" name="mentality_aggression"/>
    <tableColumn id="69" xr3:uid="{25EE9304-7E12-0643-A4CB-862DB32FA873}" name="mentality_interceptions"/>
    <tableColumn id="70" xr3:uid="{15F6F708-1627-DF4F-89C3-42071A8961CE}" name="mentality_positioning"/>
    <tableColumn id="71" xr3:uid="{D6E992C9-7445-9348-9497-C706C0211610}" name="mentality_vision"/>
    <tableColumn id="72" xr3:uid="{834E7B46-D098-444C-B181-7F69464EE052}" name="mentality_penalties"/>
    <tableColumn id="73" xr3:uid="{1937419C-A78B-914B-AC59-0D124C15A4F6}" name="mentality_composure"/>
    <tableColumn id="74" xr3:uid="{622CAF15-7ABA-464C-9224-BE21D0AD825C}" name="defending_marking_awareness"/>
    <tableColumn id="75" xr3:uid="{FEA0B268-A15E-AC41-A4BE-43F4C81C7ED1}" name="defending_standing_tackle"/>
    <tableColumn id="76" xr3:uid="{A6DA78DD-5F24-4B4A-BB8A-6CEA446AE0D4}" name="defending_sliding_tackle"/>
    <tableColumn id="77" xr3:uid="{88377B4A-59F2-3E48-AE65-F6AFCC71455F}" name="goalkeeping_diving"/>
    <tableColumn id="78" xr3:uid="{10E9E67E-982F-6B42-84BF-39F2669AEEC0}" name="goalkeeping_handling"/>
    <tableColumn id="79" xr3:uid="{4562FEB6-E2D6-4A4D-A248-EB75A5B758CE}" name="goalkeeping_kicking"/>
    <tableColumn id="80" xr3:uid="{B31EAD5A-33FB-7844-9790-E886D3E6D39E}" name="goalkeeping_positioning"/>
    <tableColumn id="81" xr3:uid="{C9141B63-4697-BA47-8743-52D071E57B62}" name="goalkeeping_reflexes"/>
    <tableColumn id="82" xr3:uid="{4076261A-1B20-2048-BCE3-3B88D4EA49D8}" name="goalkeeping_speed"/>
    <tableColumn id="83" xr3:uid="{A112A5AA-F2ED-9947-86E2-597678949198}" name="ls"/>
    <tableColumn id="84" xr3:uid="{275AD920-DF1A-D945-B763-C2D1204DA943}" name="st"/>
    <tableColumn id="85" xr3:uid="{12C75296-A90B-ED41-B7A9-19F36F0B9C8F}" name="rs"/>
    <tableColumn id="86" xr3:uid="{A21EF0A1-4471-EB47-8378-81984C5AA8BA}" name="lw"/>
    <tableColumn id="87" xr3:uid="{46C54E06-874E-B644-8823-1556C02B7159}" name="lf"/>
    <tableColumn id="88" xr3:uid="{CABA30F1-D378-2549-A03B-C5C5549CABEF}" name="cf"/>
    <tableColumn id="89" xr3:uid="{38939EB5-B258-AB44-B577-8C3693A00AE6}" name="rf"/>
    <tableColumn id="90" xr3:uid="{5D90A89A-6843-B044-A31A-DDD11FB8A85E}" name="rw"/>
    <tableColumn id="91" xr3:uid="{4987EC37-C736-4543-B486-DBE94907693C}" name="lam"/>
    <tableColumn id="92" xr3:uid="{D98B8619-846A-8849-A39D-45AE6FFA6F01}" name="cam"/>
    <tableColumn id="93" xr3:uid="{DEC61362-8A77-514E-9F21-F0E57B65581D}" name="ram"/>
    <tableColumn id="94" xr3:uid="{6984B261-83F3-F74B-AC33-BF4B8D7A53A0}" name="lm"/>
    <tableColumn id="95" xr3:uid="{EBBA4750-2BE2-9C4D-8F85-14F35ECB949F}" name="lcm"/>
    <tableColumn id="96" xr3:uid="{D81198DF-2D9F-944B-9391-955D9ED03BC2}" name="cm"/>
    <tableColumn id="97" xr3:uid="{A07F9EAE-2451-E244-82F1-8AC89565A996}" name="rcm"/>
    <tableColumn id="98" xr3:uid="{41FE53DC-A5A3-1B41-95F7-8AE7870B05F9}" name="rm"/>
    <tableColumn id="99" xr3:uid="{13D9B225-2FEE-514B-B1DE-BEDB3B5428F6}" name="lwb"/>
    <tableColumn id="100" xr3:uid="{A808D1B9-38EE-AE4E-BF52-B2EFBFC70FCB}" name="ldm"/>
    <tableColumn id="101" xr3:uid="{B2252B08-82B8-5B47-A1C7-AC11DAE65B82}" name="cdm"/>
    <tableColumn id="102" xr3:uid="{E3773868-1F60-5944-9848-46D249CCF166}" name="rdm"/>
    <tableColumn id="103" xr3:uid="{18FB12FF-A473-4042-A589-D6F004D4AEB8}" name="rwb"/>
    <tableColumn id="104" xr3:uid="{9126EAC1-8528-BF4F-9089-B889D9D961C7}" name="lb"/>
    <tableColumn id="105" xr3:uid="{45952724-A3F2-284F-A3F6-C8DAE8BEE1A0}" name="lcb"/>
    <tableColumn id="106" xr3:uid="{0B330649-A884-9649-863E-11CBC3FD3F21}" name="cb"/>
    <tableColumn id="107" xr3:uid="{8C8A744A-8B10-E342-9029-FAB3DFEC624F}" name="rcb"/>
    <tableColumn id="108" xr3:uid="{EA55E1E2-F930-4B49-A693-C0E99F634749}" name="rb"/>
    <tableColumn id="109" xr3:uid="{A0862F14-FB36-3440-A194-61BBEC65DFFC}" name="gk"/>
    <tableColumn id="116" xr3:uid="{BF088D61-9242-824F-BBBD-4B50E00909B9}" name="mcharo_fender_ln_price" dataDxfId="2">
      <calculatedColumnFormula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calculatedColumnFormula>
    </tableColumn>
    <tableColumn id="110" xr3:uid="{53AA2969-BF32-914D-B77B-B6EFA2E5072C}" name="player_face_url"/>
    <tableColumn id="111" xr3:uid="{2CECE4AA-312C-E044-93DD-04CA703ACB27}" name="develle_mcharo_passing" dataDxfId="1">
      <calculatedColumnFormula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calculatedColumnFormula>
    </tableColumn>
    <tableColumn id="112" xr3:uid="{D843D4D9-ED89-0F43-A562-2146D36E58D1}" name="mcharo_develle_ln_price" dataDxfId="0">
      <calculatedColumnFormula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B0981-BBF7-624E-ABCF-F6504400D045}">
  <dimension ref="A1:DL101"/>
  <sheetViews>
    <sheetView tabSelected="1" topLeftCell="DA1" workbookViewId="0">
      <selection activeCell="DL3" sqref="DL3"/>
    </sheetView>
  </sheetViews>
  <sheetFormatPr baseColWidth="10" defaultRowHeight="16" x14ac:dyDescent="0.2"/>
  <cols>
    <col min="2" max="2" width="11.5" customWidth="1"/>
    <col min="3" max="3" width="13.1640625" customWidth="1"/>
    <col min="4" max="4" width="12.83203125" customWidth="1"/>
    <col min="5" max="5" width="17.33203125" customWidth="1"/>
    <col min="6" max="8" width="13.33203125" customWidth="1"/>
    <col min="9" max="9" width="19.33203125" customWidth="1"/>
    <col min="10" max="10" width="17" customWidth="1"/>
    <col min="13" max="14" width="11.33203125" customWidth="1"/>
    <col min="17" max="17" width="12.1640625" customWidth="1"/>
    <col min="18" max="18" width="11.83203125" customWidth="1"/>
    <col min="19" max="19" width="11.33203125" customWidth="1"/>
    <col min="20" max="20" width="14.83203125" customWidth="1"/>
    <col min="21" max="21" width="13.6640625" customWidth="1"/>
    <col min="22" max="22" width="14.5" customWidth="1"/>
    <col min="23" max="23" width="12.5" customWidth="1"/>
    <col min="24" max="24" width="14.5" customWidth="1"/>
    <col min="25" max="25" width="20" customWidth="1"/>
    <col min="26" max="26" width="18.1640625" customWidth="1"/>
    <col min="27" max="27" width="17.33203125" customWidth="1"/>
    <col min="28" max="28" width="28.33203125" customWidth="1"/>
    <col min="29" max="29" width="14.5" customWidth="1"/>
    <col min="30" max="30" width="17.6640625" customWidth="1"/>
    <col min="31" max="32" width="16.1640625" customWidth="1"/>
    <col min="33" max="33" width="21.6640625" customWidth="1"/>
    <col min="34" max="34" width="15.33203125" customWidth="1"/>
    <col min="35" max="35" width="12" customWidth="1"/>
    <col min="36" max="36" width="13.33203125" customWidth="1"/>
    <col min="37" max="37" width="23.33203125" customWidth="1"/>
    <col min="38" max="39" width="11.6640625" customWidth="1"/>
    <col min="40" max="40" width="11.1640625" customWidth="1"/>
    <col min="41" max="41" width="19.5" customWidth="1"/>
    <col min="42" max="42" width="53.83203125" customWidth="1"/>
    <col min="43" max="43" width="13" customWidth="1"/>
    <col min="44" max="44" width="84.6640625" customWidth="1"/>
    <col min="49" max="49" width="11.6640625" customWidth="1"/>
    <col min="51" max="52" width="19.33203125" customWidth="1"/>
    <col min="53" max="53" width="27" customWidth="1"/>
    <col min="54" max="54" width="23.83203125" customWidth="1"/>
    <col min="55" max="55" width="17.83203125" customWidth="1"/>
    <col min="56" max="56" width="15" customWidth="1"/>
    <col min="57" max="57" width="12.33203125" customWidth="1"/>
    <col min="58" max="58" width="17.83203125" customWidth="1"/>
    <col min="59" max="59" width="18.6640625" customWidth="1"/>
    <col min="60" max="60" width="17.5" customWidth="1"/>
    <col min="61" max="61" width="23.5" customWidth="1"/>
    <col min="62" max="62" width="23.83203125" customWidth="1"/>
    <col min="63" max="63" width="18.1640625" customWidth="1"/>
    <col min="64" max="64" width="21" customWidth="1"/>
    <col min="65" max="65" width="19.6640625" customWidth="1"/>
    <col min="66" max="66" width="18.83203125" customWidth="1"/>
    <col min="67" max="67" width="16" customWidth="1"/>
    <col min="68" max="68" width="16.1640625" customWidth="1"/>
    <col min="69" max="69" width="16.33203125" customWidth="1"/>
    <col min="70" max="70" width="18.33203125" customWidth="1"/>
    <col min="71" max="71" width="21.33203125" customWidth="1"/>
    <col min="72" max="72" width="23.1640625" customWidth="1"/>
    <col min="73" max="73" width="21.33203125" customWidth="1"/>
    <col min="74" max="74" width="17" customWidth="1"/>
    <col min="75" max="75" width="19.83203125" customWidth="1"/>
    <col min="76" max="76" width="21.5" customWidth="1"/>
    <col min="77" max="77" width="29.1640625" customWidth="1"/>
    <col min="78" max="78" width="25.6640625" customWidth="1"/>
    <col min="79" max="79" width="24" customWidth="1"/>
    <col min="80" max="80" width="19.1640625" customWidth="1"/>
    <col min="81" max="81" width="21.33203125" customWidth="1"/>
    <col min="82" max="82" width="20.33203125" customWidth="1"/>
    <col min="83" max="83" width="23.5" customWidth="1"/>
    <col min="84" max="84" width="21" customWidth="1"/>
    <col min="85" max="85" width="19.33203125" customWidth="1"/>
    <col min="113" max="113" width="30.33203125" customWidth="1"/>
    <col min="114" max="116" width="41.33203125" customWidth="1"/>
  </cols>
  <sheetData>
    <row r="1" spans="1:116" x14ac:dyDescent="0.2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862</v>
      </c>
      <c r="H1" t="s">
        <v>863</v>
      </c>
      <c r="I1" t="s">
        <v>143</v>
      </c>
      <c r="J1" t="s">
        <v>144</v>
      </c>
      <c r="K1" t="s">
        <v>145</v>
      </c>
      <c r="L1" t="s">
        <v>146</v>
      </c>
      <c r="M1" t="s">
        <v>147</v>
      </c>
      <c r="N1" t="s">
        <v>148</v>
      </c>
      <c r="O1" t="s">
        <v>149</v>
      </c>
      <c r="P1" t="s">
        <v>150</v>
      </c>
      <c r="Q1" t="s">
        <v>151</v>
      </c>
      <c r="R1" t="s">
        <v>152</v>
      </c>
      <c r="S1" t="s">
        <v>153</v>
      </c>
      <c r="T1" t="s">
        <v>154</v>
      </c>
      <c r="U1" t="s">
        <v>155</v>
      </c>
      <c r="V1" t="s">
        <v>156</v>
      </c>
      <c r="W1" t="s">
        <v>157</v>
      </c>
      <c r="X1" t="s">
        <v>158</v>
      </c>
      <c r="Y1" t="s">
        <v>159</v>
      </c>
      <c r="Z1" t="s">
        <v>160</v>
      </c>
      <c r="AA1" t="s">
        <v>161</v>
      </c>
      <c r="AB1" t="s">
        <v>162</v>
      </c>
      <c r="AC1" t="s">
        <v>163</v>
      </c>
      <c r="AD1" t="s">
        <v>164</v>
      </c>
      <c r="AE1" t="s">
        <v>165</v>
      </c>
      <c r="AF1" t="s">
        <v>166</v>
      </c>
      <c r="AG1" t="s">
        <v>167</v>
      </c>
      <c r="AH1" t="s">
        <v>168</v>
      </c>
      <c r="AI1" t="s">
        <v>169</v>
      </c>
      <c r="AJ1" t="s">
        <v>170</v>
      </c>
      <c r="AK1" t="s">
        <v>171</v>
      </c>
      <c r="AL1" t="s">
        <v>172</v>
      </c>
      <c r="AM1" t="s">
        <v>173</v>
      </c>
      <c r="AN1" t="s">
        <v>174</v>
      </c>
      <c r="AO1" t="s">
        <v>175</v>
      </c>
      <c r="AP1" t="s">
        <v>176</v>
      </c>
      <c r="AQ1" t="s">
        <v>865</v>
      </c>
      <c r="AR1" t="s">
        <v>177</v>
      </c>
      <c r="AS1" t="s">
        <v>178</v>
      </c>
      <c r="AT1" t="s">
        <v>179</v>
      </c>
      <c r="AU1" t="s">
        <v>180</v>
      </c>
      <c r="AV1" t="s">
        <v>181</v>
      </c>
      <c r="AW1" t="s">
        <v>182</v>
      </c>
      <c r="AX1" t="s">
        <v>183</v>
      </c>
      <c r="AY1" t="s">
        <v>184</v>
      </c>
      <c r="AZ1" t="s">
        <v>185</v>
      </c>
      <c r="BA1" t="s">
        <v>186</v>
      </c>
      <c r="BB1" t="s">
        <v>187</v>
      </c>
      <c r="BC1" t="s">
        <v>188</v>
      </c>
      <c r="BD1" t="s">
        <v>189</v>
      </c>
      <c r="BE1" t="s">
        <v>190</v>
      </c>
      <c r="BF1" t="s">
        <v>191</v>
      </c>
      <c r="BG1" t="s">
        <v>192</v>
      </c>
      <c r="BH1" t="s">
        <v>193</v>
      </c>
      <c r="BI1" t="s">
        <v>194</v>
      </c>
      <c r="BJ1" t="s">
        <v>195</v>
      </c>
      <c r="BK1" t="s">
        <v>196</v>
      </c>
      <c r="BL1" t="s">
        <v>197</v>
      </c>
      <c r="BM1" t="s">
        <v>198</v>
      </c>
      <c r="BN1" t="s">
        <v>199</v>
      </c>
      <c r="BO1" t="s">
        <v>200</v>
      </c>
      <c r="BP1" t="s">
        <v>201</v>
      </c>
      <c r="BQ1" t="s">
        <v>202</v>
      </c>
      <c r="BR1" t="s">
        <v>203</v>
      </c>
      <c r="BS1" t="s">
        <v>204</v>
      </c>
      <c r="BT1" t="s">
        <v>205</v>
      </c>
      <c r="BU1" t="s">
        <v>206</v>
      </c>
      <c r="BV1" t="s">
        <v>207</v>
      </c>
      <c r="BW1" t="s">
        <v>208</v>
      </c>
      <c r="BX1" t="s">
        <v>209</v>
      </c>
      <c r="BY1" t="s">
        <v>210</v>
      </c>
      <c r="BZ1" t="s">
        <v>211</v>
      </c>
      <c r="CA1" t="s">
        <v>212</v>
      </c>
      <c r="CB1" t="s">
        <v>213</v>
      </c>
      <c r="CC1" t="s">
        <v>214</v>
      </c>
      <c r="CD1" t="s">
        <v>215</v>
      </c>
      <c r="CE1" t="s">
        <v>216</v>
      </c>
      <c r="CF1" t="s">
        <v>217</v>
      </c>
      <c r="CG1" t="s">
        <v>218</v>
      </c>
      <c r="CH1" t="s">
        <v>219</v>
      </c>
      <c r="CI1" t="s">
        <v>220</v>
      </c>
      <c r="CJ1" t="s">
        <v>221</v>
      </c>
      <c r="CK1" t="s">
        <v>222</v>
      </c>
      <c r="CL1" t="s">
        <v>223</v>
      </c>
      <c r="CM1" t="s">
        <v>224</v>
      </c>
      <c r="CN1" t="s">
        <v>225</v>
      </c>
      <c r="CO1" t="s">
        <v>226</v>
      </c>
      <c r="CP1" t="s">
        <v>227</v>
      </c>
      <c r="CQ1" t="s">
        <v>228</v>
      </c>
      <c r="CR1" t="s">
        <v>229</v>
      </c>
      <c r="CS1" t="s">
        <v>230</v>
      </c>
      <c r="CT1" t="s">
        <v>231</v>
      </c>
      <c r="CU1" t="s">
        <v>232</v>
      </c>
      <c r="CV1" t="s">
        <v>233</v>
      </c>
      <c r="CW1" t="s">
        <v>234</v>
      </c>
      <c r="CX1" t="s">
        <v>235</v>
      </c>
      <c r="CY1" t="s">
        <v>236</v>
      </c>
      <c r="CZ1" t="s">
        <v>237</v>
      </c>
      <c r="DA1" t="s">
        <v>238</v>
      </c>
      <c r="DB1" t="s">
        <v>239</v>
      </c>
      <c r="DC1" t="s">
        <v>240</v>
      </c>
      <c r="DD1" t="s">
        <v>241</v>
      </c>
      <c r="DE1" t="s">
        <v>242</v>
      </c>
      <c r="DF1" t="s">
        <v>243</v>
      </c>
      <c r="DG1" t="s">
        <v>244</v>
      </c>
      <c r="DH1" t="s">
        <v>245</v>
      </c>
      <c r="DI1" t="s">
        <v>864</v>
      </c>
      <c r="DJ1" t="s">
        <v>246</v>
      </c>
      <c r="DK1" t="s">
        <v>866</v>
      </c>
      <c r="DL1" t="s">
        <v>867</v>
      </c>
    </row>
    <row r="2" spans="1:116" x14ac:dyDescent="0.2">
      <c r="A2">
        <v>231478</v>
      </c>
      <c r="B2" t="s">
        <v>247</v>
      </c>
      <c r="C2">
        <v>26</v>
      </c>
      <c r="D2">
        <v>4</v>
      </c>
      <c r="E2" s="1">
        <v>45919</v>
      </c>
      <c r="F2" t="s">
        <v>248</v>
      </c>
      <c r="G2">
        <v>0</v>
      </c>
      <c r="H2">
        <v>0</v>
      </c>
      <c r="I2" t="s">
        <v>249</v>
      </c>
      <c r="J2" t="s">
        <v>34</v>
      </c>
      <c r="K2">
        <v>88</v>
      </c>
      <c r="L2">
        <v>88</v>
      </c>
      <c r="M2">
        <v>99000000</v>
      </c>
      <c r="N2">
        <v>79000</v>
      </c>
      <c r="O2">
        <v>27</v>
      </c>
      <c r="P2" s="1">
        <v>35664</v>
      </c>
      <c r="Q2">
        <v>174</v>
      </c>
      <c r="R2">
        <v>72</v>
      </c>
      <c r="S2">
        <v>31</v>
      </c>
      <c r="T2" t="s">
        <v>250</v>
      </c>
      <c r="U2">
        <v>1</v>
      </c>
      <c r="V2">
        <v>44</v>
      </c>
      <c r="W2" t="s">
        <v>251</v>
      </c>
      <c r="X2" t="s">
        <v>136</v>
      </c>
      <c r="Y2">
        <v>10</v>
      </c>
      <c r="AA2" s="1">
        <v>43285</v>
      </c>
      <c r="AB2">
        <v>2029</v>
      </c>
      <c r="AC2">
        <v>52</v>
      </c>
      <c r="AD2" t="s">
        <v>252</v>
      </c>
      <c r="AE2">
        <v>1369</v>
      </c>
      <c r="AF2" t="s">
        <v>110</v>
      </c>
      <c r="AG2">
        <v>22</v>
      </c>
      <c r="AH2" t="s">
        <v>2</v>
      </c>
      <c r="AI2">
        <v>4</v>
      </c>
      <c r="AJ2">
        <v>4</v>
      </c>
      <c r="AK2">
        <v>5</v>
      </c>
      <c r="AM2" t="s">
        <v>253</v>
      </c>
      <c r="AN2" t="s">
        <v>254</v>
      </c>
      <c r="AO2">
        <v>163400000</v>
      </c>
      <c r="AP2" t="s">
        <v>255</v>
      </c>
      <c r="AQ2">
        <v>0</v>
      </c>
      <c r="AR2" t="s">
        <v>256</v>
      </c>
      <c r="AS2">
        <v>81</v>
      </c>
      <c r="AT2">
        <v>88</v>
      </c>
      <c r="AU2">
        <v>75</v>
      </c>
      <c r="AV2">
        <v>84</v>
      </c>
      <c r="AW2">
        <v>51</v>
      </c>
      <c r="AX2">
        <v>83</v>
      </c>
      <c r="AY2">
        <v>68</v>
      </c>
      <c r="AZ2">
        <v>93</v>
      </c>
      <c r="BA2">
        <v>86</v>
      </c>
      <c r="BB2">
        <v>78</v>
      </c>
      <c r="BC2">
        <v>92</v>
      </c>
      <c r="BD2">
        <v>81</v>
      </c>
      <c r="BE2">
        <v>84</v>
      </c>
      <c r="BF2">
        <v>65</v>
      </c>
      <c r="BG2">
        <v>72</v>
      </c>
      <c r="BH2">
        <v>84</v>
      </c>
      <c r="BI2">
        <v>83</v>
      </c>
      <c r="BJ2">
        <v>80</v>
      </c>
      <c r="BK2">
        <v>88</v>
      </c>
      <c r="BL2">
        <v>92</v>
      </c>
      <c r="BM2">
        <v>87</v>
      </c>
      <c r="BN2">
        <v>87</v>
      </c>
      <c r="BO2">
        <v>91</v>
      </c>
      <c r="BP2">
        <v>86</v>
      </c>
      <c r="BQ2">
        <v>80</v>
      </c>
      <c r="BR2">
        <v>80</v>
      </c>
      <c r="BS2">
        <v>87</v>
      </c>
      <c r="BT2">
        <v>48</v>
      </c>
      <c r="BU2">
        <v>93</v>
      </c>
      <c r="BV2">
        <v>79</v>
      </c>
      <c r="BW2">
        <v>74</v>
      </c>
      <c r="BX2">
        <v>88</v>
      </c>
      <c r="BY2">
        <v>45</v>
      </c>
      <c r="BZ2">
        <v>50</v>
      </c>
      <c r="CA2">
        <v>45</v>
      </c>
      <c r="CB2">
        <v>11</v>
      </c>
      <c r="CC2">
        <v>8</v>
      </c>
      <c r="CD2">
        <v>8</v>
      </c>
      <c r="CE2">
        <v>8</v>
      </c>
      <c r="CF2">
        <v>13</v>
      </c>
      <c r="CH2" t="s">
        <v>257</v>
      </c>
      <c r="CI2" t="s">
        <v>257</v>
      </c>
      <c r="CJ2" t="s">
        <v>257</v>
      </c>
      <c r="CK2" t="s">
        <v>8</v>
      </c>
      <c r="CL2" t="s">
        <v>258</v>
      </c>
      <c r="CM2" t="s">
        <v>258</v>
      </c>
      <c r="CN2" t="s">
        <v>258</v>
      </c>
      <c r="CO2" t="s">
        <v>8</v>
      </c>
      <c r="CP2" t="s">
        <v>259</v>
      </c>
      <c r="CQ2" t="s">
        <v>259</v>
      </c>
      <c r="CR2" t="s">
        <v>259</v>
      </c>
      <c r="CS2" t="s">
        <v>260</v>
      </c>
      <c r="CT2" t="s">
        <v>10</v>
      </c>
      <c r="CU2" t="s">
        <v>10</v>
      </c>
      <c r="CV2" t="s">
        <v>10</v>
      </c>
      <c r="CW2" t="s">
        <v>260</v>
      </c>
      <c r="CX2" t="s">
        <v>37</v>
      </c>
      <c r="CY2" t="s">
        <v>37</v>
      </c>
      <c r="CZ2" t="s">
        <v>37</v>
      </c>
      <c r="DA2" t="s">
        <v>37</v>
      </c>
      <c r="DB2" t="s">
        <v>37</v>
      </c>
      <c r="DC2" t="s">
        <v>11</v>
      </c>
      <c r="DD2" t="s">
        <v>261</v>
      </c>
      <c r="DE2" t="s">
        <v>261</v>
      </c>
      <c r="DF2" t="s">
        <v>261</v>
      </c>
      <c r="DG2" t="s">
        <v>11</v>
      </c>
      <c r="DH2" t="s">
        <v>27</v>
      </c>
      <c r="DI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13.935465799999999</v>
      </c>
      <c r="DJ2" t="s">
        <v>262</v>
      </c>
      <c r="DK2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2.8799714516015622</v>
      </c>
      <c r="DL2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14.083660220141214</v>
      </c>
    </row>
    <row r="3" spans="1:116" x14ac:dyDescent="0.2">
      <c r="A3">
        <v>224232</v>
      </c>
      <c r="B3" t="s">
        <v>263</v>
      </c>
      <c r="C3">
        <v>26</v>
      </c>
      <c r="D3">
        <v>4</v>
      </c>
      <c r="E3" s="1">
        <v>45919</v>
      </c>
      <c r="F3" t="s">
        <v>264</v>
      </c>
      <c r="G3">
        <v>0</v>
      </c>
      <c r="H3">
        <v>1</v>
      </c>
      <c r="I3" t="s">
        <v>265</v>
      </c>
      <c r="J3" t="s">
        <v>266</v>
      </c>
      <c r="K3">
        <v>87</v>
      </c>
      <c r="L3">
        <v>87</v>
      </c>
      <c r="M3">
        <v>79500000</v>
      </c>
      <c r="N3">
        <v>69000</v>
      </c>
      <c r="O3">
        <v>28</v>
      </c>
      <c r="P3" s="1">
        <v>35468</v>
      </c>
      <c r="Q3">
        <v>175</v>
      </c>
      <c r="R3">
        <v>68</v>
      </c>
      <c r="S3">
        <v>31</v>
      </c>
      <c r="T3" t="s">
        <v>250</v>
      </c>
      <c r="U3">
        <v>1</v>
      </c>
      <c r="V3">
        <v>44</v>
      </c>
      <c r="W3" t="s">
        <v>251</v>
      </c>
      <c r="X3" t="s">
        <v>101</v>
      </c>
      <c r="Y3">
        <v>23</v>
      </c>
      <c r="AA3" s="1">
        <v>44075</v>
      </c>
      <c r="AB3">
        <v>2029</v>
      </c>
      <c r="AC3">
        <v>27</v>
      </c>
      <c r="AD3" t="s">
        <v>267</v>
      </c>
      <c r="AE3">
        <v>1343</v>
      </c>
      <c r="AF3" t="s">
        <v>101</v>
      </c>
      <c r="AG3">
        <v>18</v>
      </c>
      <c r="AH3" t="s">
        <v>2</v>
      </c>
      <c r="AI3">
        <v>4</v>
      </c>
      <c r="AJ3">
        <v>3</v>
      </c>
      <c r="AK3">
        <v>4</v>
      </c>
      <c r="AM3" t="s">
        <v>91</v>
      </c>
      <c r="AN3" t="s">
        <v>254</v>
      </c>
      <c r="AO3">
        <v>131199999</v>
      </c>
      <c r="AP3" t="s">
        <v>5</v>
      </c>
      <c r="AQ3">
        <v>0</v>
      </c>
      <c r="AR3" t="s">
        <v>268</v>
      </c>
      <c r="AS3">
        <v>80</v>
      </c>
      <c r="AT3">
        <v>78</v>
      </c>
      <c r="AU3">
        <v>84</v>
      </c>
      <c r="AV3">
        <v>86</v>
      </c>
      <c r="AW3">
        <v>81</v>
      </c>
      <c r="AX3">
        <v>76</v>
      </c>
      <c r="AY3">
        <v>79</v>
      </c>
      <c r="AZ3">
        <v>77</v>
      </c>
      <c r="BA3">
        <v>60</v>
      </c>
      <c r="BB3">
        <v>89</v>
      </c>
      <c r="BC3">
        <v>80</v>
      </c>
      <c r="BD3">
        <v>84</v>
      </c>
      <c r="BE3">
        <v>79</v>
      </c>
      <c r="BF3">
        <v>67</v>
      </c>
      <c r="BG3">
        <v>87</v>
      </c>
      <c r="BH3">
        <v>87</v>
      </c>
      <c r="BI3">
        <v>82</v>
      </c>
      <c r="BJ3">
        <v>78</v>
      </c>
      <c r="BK3">
        <v>91</v>
      </c>
      <c r="BL3">
        <v>91</v>
      </c>
      <c r="BM3">
        <v>88</v>
      </c>
      <c r="BN3">
        <v>80</v>
      </c>
      <c r="BO3">
        <v>75</v>
      </c>
      <c r="BP3">
        <v>89</v>
      </c>
      <c r="BQ3">
        <v>66</v>
      </c>
      <c r="BR3">
        <v>79</v>
      </c>
      <c r="BS3">
        <v>87</v>
      </c>
      <c r="BT3">
        <v>85</v>
      </c>
      <c r="BU3">
        <v>84</v>
      </c>
      <c r="BV3">
        <v>85</v>
      </c>
      <c r="BW3">
        <v>73</v>
      </c>
      <c r="BX3">
        <v>88</v>
      </c>
      <c r="BY3">
        <v>80</v>
      </c>
      <c r="BZ3">
        <v>85</v>
      </c>
      <c r="CA3">
        <v>80</v>
      </c>
      <c r="CB3">
        <v>11</v>
      </c>
      <c r="CC3">
        <v>5</v>
      </c>
      <c r="CD3">
        <v>13</v>
      </c>
      <c r="CE3">
        <v>14</v>
      </c>
      <c r="CF3">
        <v>11</v>
      </c>
      <c r="CH3" t="s">
        <v>269</v>
      </c>
      <c r="CI3" t="s">
        <v>269</v>
      </c>
      <c r="CJ3" t="s">
        <v>269</v>
      </c>
      <c r="CK3" t="s">
        <v>270</v>
      </c>
      <c r="CL3" t="s">
        <v>270</v>
      </c>
      <c r="CM3" t="s">
        <v>270</v>
      </c>
      <c r="CN3" t="s">
        <v>270</v>
      </c>
      <c r="CO3" t="s">
        <v>270</v>
      </c>
      <c r="CP3" t="s">
        <v>271</v>
      </c>
      <c r="CQ3" t="s">
        <v>271</v>
      </c>
      <c r="CR3" t="s">
        <v>271</v>
      </c>
      <c r="CS3" t="s">
        <v>272</v>
      </c>
      <c r="CT3" t="s">
        <v>273</v>
      </c>
      <c r="CU3" t="s">
        <v>273</v>
      </c>
      <c r="CV3" t="s">
        <v>273</v>
      </c>
      <c r="CW3" t="s">
        <v>272</v>
      </c>
      <c r="CX3" t="s">
        <v>272</v>
      </c>
      <c r="CY3" t="s">
        <v>271</v>
      </c>
      <c r="CZ3" t="s">
        <v>271</v>
      </c>
      <c r="DA3" t="s">
        <v>271</v>
      </c>
      <c r="DB3" t="s">
        <v>272</v>
      </c>
      <c r="DC3" t="s">
        <v>259</v>
      </c>
      <c r="DD3" t="s">
        <v>269</v>
      </c>
      <c r="DE3" t="s">
        <v>269</v>
      </c>
      <c r="DF3" t="s">
        <v>269</v>
      </c>
      <c r="DG3" t="s">
        <v>259</v>
      </c>
      <c r="DH3" t="s">
        <v>27</v>
      </c>
      <c r="DI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13.3188622</v>
      </c>
      <c r="DJ3" t="s">
        <v>274</v>
      </c>
      <c r="DK3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3.1491607656250005</v>
      </c>
      <c r="DL3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13.448961090219418</v>
      </c>
    </row>
    <row r="4" spans="1:116" x14ac:dyDescent="0.2">
      <c r="A4">
        <v>192985</v>
      </c>
      <c r="B4" t="s">
        <v>275</v>
      </c>
      <c r="C4">
        <v>26</v>
      </c>
      <c r="D4">
        <v>4</v>
      </c>
      <c r="E4" s="1">
        <v>45919</v>
      </c>
      <c r="F4" t="s">
        <v>276</v>
      </c>
      <c r="G4">
        <v>0</v>
      </c>
      <c r="H4">
        <v>1</v>
      </c>
      <c r="I4" t="s">
        <v>277</v>
      </c>
      <c r="J4" t="s">
        <v>100</v>
      </c>
      <c r="K4">
        <v>87</v>
      </c>
      <c r="L4">
        <v>87</v>
      </c>
      <c r="M4">
        <v>36500000</v>
      </c>
      <c r="N4">
        <v>175000</v>
      </c>
      <c r="O4">
        <v>34</v>
      </c>
      <c r="P4" s="1">
        <v>33417</v>
      </c>
      <c r="Q4">
        <v>181</v>
      </c>
      <c r="R4">
        <v>75</v>
      </c>
      <c r="S4">
        <v>31</v>
      </c>
      <c r="T4" t="s">
        <v>250</v>
      </c>
      <c r="U4">
        <v>1</v>
      </c>
      <c r="V4">
        <v>48</v>
      </c>
      <c r="W4" t="s">
        <v>278</v>
      </c>
      <c r="X4" t="s">
        <v>116</v>
      </c>
      <c r="Y4">
        <v>11</v>
      </c>
      <c r="AA4" s="1">
        <v>42246</v>
      </c>
      <c r="AB4">
        <v>2027</v>
      </c>
      <c r="AC4">
        <v>7</v>
      </c>
      <c r="AD4" t="s">
        <v>279</v>
      </c>
      <c r="AH4" t="s">
        <v>2</v>
      </c>
      <c r="AI4">
        <v>5</v>
      </c>
      <c r="AJ4">
        <v>4</v>
      </c>
      <c r="AK4">
        <v>4</v>
      </c>
      <c r="AM4" t="s">
        <v>253</v>
      </c>
      <c r="AN4" t="s">
        <v>254</v>
      </c>
      <c r="AO4">
        <v>62100000</v>
      </c>
      <c r="AP4" t="s">
        <v>280</v>
      </c>
      <c r="AQ4">
        <v>0</v>
      </c>
      <c r="AR4" t="s">
        <v>281</v>
      </c>
      <c r="AS4">
        <v>66</v>
      </c>
      <c r="AT4">
        <v>83</v>
      </c>
      <c r="AU4">
        <v>92</v>
      </c>
      <c r="AV4">
        <v>84</v>
      </c>
      <c r="AW4">
        <v>65</v>
      </c>
      <c r="AX4">
        <v>72</v>
      </c>
      <c r="AY4">
        <v>93</v>
      </c>
      <c r="AZ4">
        <v>78</v>
      </c>
      <c r="BA4">
        <v>55</v>
      </c>
      <c r="BB4">
        <v>92</v>
      </c>
      <c r="BC4">
        <v>81</v>
      </c>
      <c r="BD4">
        <v>85</v>
      </c>
      <c r="BE4">
        <v>93</v>
      </c>
      <c r="BF4">
        <v>83</v>
      </c>
      <c r="BG4">
        <v>93</v>
      </c>
      <c r="BH4">
        <v>89</v>
      </c>
      <c r="BI4">
        <v>65</v>
      </c>
      <c r="BJ4">
        <v>66</v>
      </c>
      <c r="BK4">
        <v>68</v>
      </c>
      <c r="BL4">
        <v>89</v>
      </c>
      <c r="BM4">
        <v>66</v>
      </c>
      <c r="BN4">
        <v>90</v>
      </c>
      <c r="BO4">
        <v>70</v>
      </c>
      <c r="BP4">
        <v>66</v>
      </c>
      <c r="BQ4">
        <v>74</v>
      </c>
      <c r="BR4">
        <v>87</v>
      </c>
      <c r="BS4">
        <v>73</v>
      </c>
      <c r="BT4">
        <v>65</v>
      </c>
      <c r="BU4">
        <v>81</v>
      </c>
      <c r="BV4">
        <v>92</v>
      </c>
      <c r="BW4">
        <v>83</v>
      </c>
      <c r="BX4">
        <v>87</v>
      </c>
      <c r="BY4">
        <v>65</v>
      </c>
      <c r="BZ4">
        <v>70</v>
      </c>
      <c r="CA4">
        <v>55</v>
      </c>
      <c r="CB4">
        <v>15</v>
      </c>
      <c r="CC4">
        <v>13</v>
      </c>
      <c r="CD4">
        <v>5</v>
      </c>
      <c r="CE4">
        <v>10</v>
      </c>
      <c r="CF4">
        <v>13</v>
      </c>
      <c r="CH4" t="s">
        <v>7</v>
      </c>
      <c r="CI4" t="s">
        <v>7</v>
      </c>
      <c r="CJ4" t="s">
        <v>7</v>
      </c>
      <c r="CK4" t="s">
        <v>270</v>
      </c>
      <c r="CL4" t="s">
        <v>270</v>
      </c>
      <c r="CM4" t="s">
        <v>270</v>
      </c>
      <c r="CN4" t="s">
        <v>270</v>
      </c>
      <c r="CO4" t="s">
        <v>270</v>
      </c>
      <c r="CP4" t="s">
        <v>273</v>
      </c>
      <c r="CQ4" t="s">
        <v>273</v>
      </c>
      <c r="CR4" t="s">
        <v>273</v>
      </c>
      <c r="CS4" t="s">
        <v>272</v>
      </c>
      <c r="CT4" t="s">
        <v>273</v>
      </c>
      <c r="CU4" t="s">
        <v>273</v>
      </c>
      <c r="CV4" t="s">
        <v>273</v>
      </c>
      <c r="CW4" t="s">
        <v>272</v>
      </c>
      <c r="CX4" t="s">
        <v>25</v>
      </c>
      <c r="CY4" t="s">
        <v>10</v>
      </c>
      <c r="CZ4" t="s">
        <v>10</v>
      </c>
      <c r="DA4" t="s">
        <v>10</v>
      </c>
      <c r="DB4" t="s">
        <v>25</v>
      </c>
      <c r="DC4" t="s">
        <v>282</v>
      </c>
      <c r="DD4" t="s">
        <v>283</v>
      </c>
      <c r="DE4" t="s">
        <v>283</v>
      </c>
      <c r="DF4" t="s">
        <v>283</v>
      </c>
      <c r="DG4" t="s">
        <v>282</v>
      </c>
      <c r="DH4" t="s">
        <v>15</v>
      </c>
      <c r="DI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13.360890200000002</v>
      </c>
      <c r="DJ4" t="s">
        <v>284</v>
      </c>
      <c r="DK4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3.4997208100000003</v>
      </c>
      <c r="DL4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13.498066381011473</v>
      </c>
    </row>
    <row r="5" spans="1:116" x14ac:dyDescent="0.2">
      <c r="A5">
        <v>237383</v>
      </c>
      <c r="B5" t="s">
        <v>285</v>
      </c>
      <c r="C5">
        <v>26</v>
      </c>
      <c r="D5">
        <v>4</v>
      </c>
      <c r="E5" s="1">
        <v>45919</v>
      </c>
      <c r="F5" t="s">
        <v>286</v>
      </c>
      <c r="G5">
        <v>1</v>
      </c>
      <c r="H5">
        <v>0</v>
      </c>
      <c r="I5" t="s">
        <v>287</v>
      </c>
      <c r="J5" t="s">
        <v>71</v>
      </c>
      <c r="K5">
        <v>87</v>
      </c>
      <c r="L5">
        <v>89</v>
      </c>
      <c r="M5">
        <v>87000000</v>
      </c>
      <c r="N5">
        <v>63000</v>
      </c>
      <c r="O5">
        <v>26</v>
      </c>
      <c r="P5" s="1">
        <v>36263</v>
      </c>
      <c r="Q5">
        <v>190</v>
      </c>
      <c r="R5">
        <v>75</v>
      </c>
      <c r="S5">
        <v>31</v>
      </c>
      <c r="T5" t="s">
        <v>250</v>
      </c>
      <c r="U5">
        <v>1</v>
      </c>
      <c r="V5">
        <v>44</v>
      </c>
      <c r="W5" t="s">
        <v>251</v>
      </c>
      <c r="X5" t="s">
        <v>112</v>
      </c>
      <c r="Y5">
        <v>95</v>
      </c>
      <c r="AA5" s="1">
        <v>42977</v>
      </c>
      <c r="AB5">
        <v>2028</v>
      </c>
      <c r="AC5">
        <v>27</v>
      </c>
      <c r="AD5" t="s">
        <v>267</v>
      </c>
      <c r="AE5">
        <v>1343</v>
      </c>
      <c r="AF5" t="s">
        <v>47</v>
      </c>
      <c r="AG5">
        <v>21</v>
      </c>
      <c r="AH5" t="s">
        <v>18</v>
      </c>
      <c r="AI5">
        <v>2</v>
      </c>
      <c r="AJ5">
        <v>2</v>
      </c>
      <c r="AK5">
        <v>4</v>
      </c>
      <c r="AM5" t="s">
        <v>253</v>
      </c>
      <c r="AN5" t="s">
        <v>254</v>
      </c>
      <c r="AO5">
        <v>150100000</v>
      </c>
      <c r="AP5" t="s">
        <v>288</v>
      </c>
      <c r="AQ5">
        <v>0</v>
      </c>
      <c r="AR5" t="s">
        <v>289</v>
      </c>
      <c r="AS5">
        <v>74</v>
      </c>
      <c r="AT5">
        <v>46</v>
      </c>
      <c r="AU5">
        <v>75</v>
      </c>
      <c r="AV5">
        <v>76</v>
      </c>
      <c r="AW5">
        <v>88</v>
      </c>
      <c r="AX5">
        <v>82</v>
      </c>
      <c r="AY5">
        <v>72</v>
      </c>
      <c r="AZ5">
        <v>39</v>
      </c>
      <c r="BA5">
        <v>86</v>
      </c>
      <c r="BB5">
        <v>82</v>
      </c>
      <c r="BC5">
        <v>44</v>
      </c>
      <c r="BD5">
        <v>74</v>
      </c>
      <c r="BE5">
        <v>64</v>
      </c>
      <c r="BF5">
        <v>41</v>
      </c>
      <c r="BG5">
        <v>84</v>
      </c>
      <c r="BH5">
        <v>82</v>
      </c>
      <c r="BI5">
        <v>71</v>
      </c>
      <c r="BJ5">
        <v>77</v>
      </c>
      <c r="BK5">
        <v>64</v>
      </c>
      <c r="BL5">
        <v>89</v>
      </c>
      <c r="BM5">
        <v>60</v>
      </c>
      <c r="BN5">
        <v>59</v>
      </c>
      <c r="BO5">
        <v>88</v>
      </c>
      <c r="BP5">
        <v>81</v>
      </c>
      <c r="BQ5">
        <v>81</v>
      </c>
      <c r="BR5">
        <v>48</v>
      </c>
      <c r="BS5">
        <v>83</v>
      </c>
      <c r="BT5">
        <v>88</v>
      </c>
      <c r="BU5">
        <v>39</v>
      </c>
      <c r="BV5">
        <v>72</v>
      </c>
      <c r="BW5">
        <v>50</v>
      </c>
      <c r="BX5">
        <v>85</v>
      </c>
      <c r="BY5">
        <v>87</v>
      </c>
      <c r="BZ5">
        <v>90</v>
      </c>
      <c r="CA5">
        <v>84</v>
      </c>
      <c r="CB5">
        <v>11</v>
      </c>
      <c r="CC5">
        <v>5</v>
      </c>
      <c r="CD5">
        <v>9</v>
      </c>
      <c r="CE5">
        <v>11</v>
      </c>
      <c r="CF5">
        <v>12</v>
      </c>
      <c r="CH5" t="s">
        <v>261</v>
      </c>
      <c r="CI5" t="s">
        <v>261</v>
      </c>
      <c r="CJ5" t="s">
        <v>261</v>
      </c>
      <c r="CK5" t="s">
        <v>79</v>
      </c>
      <c r="CL5" t="s">
        <v>120</v>
      </c>
      <c r="CM5" t="s">
        <v>120</v>
      </c>
      <c r="CN5" t="s">
        <v>120</v>
      </c>
      <c r="CO5" t="s">
        <v>79</v>
      </c>
      <c r="CP5" t="s">
        <v>290</v>
      </c>
      <c r="CQ5" t="s">
        <v>290</v>
      </c>
      <c r="CR5" t="s">
        <v>290</v>
      </c>
      <c r="CS5" t="s">
        <v>29</v>
      </c>
      <c r="CT5" t="s">
        <v>30</v>
      </c>
      <c r="CU5" t="s">
        <v>30</v>
      </c>
      <c r="CV5" t="s">
        <v>30</v>
      </c>
      <c r="CW5" t="s">
        <v>29</v>
      </c>
      <c r="CX5" t="s">
        <v>260</v>
      </c>
      <c r="CY5" t="s">
        <v>291</v>
      </c>
      <c r="CZ5" t="s">
        <v>291</v>
      </c>
      <c r="DA5" t="s">
        <v>291</v>
      </c>
      <c r="DB5" t="s">
        <v>260</v>
      </c>
      <c r="DC5" t="s">
        <v>259</v>
      </c>
      <c r="DD5" t="s">
        <v>292</v>
      </c>
      <c r="DE5" t="s">
        <v>292</v>
      </c>
      <c r="DF5" t="s">
        <v>292</v>
      </c>
      <c r="DG5" t="s">
        <v>259</v>
      </c>
      <c r="DH5" t="s">
        <v>293</v>
      </c>
      <c r="DI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13.374461</v>
      </c>
      <c r="DJ5" t="s">
        <v>294</v>
      </c>
      <c r="DK5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2.6914998756249995</v>
      </c>
      <c r="DL5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13.478752265452991</v>
      </c>
    </row>
    <row r="6" spans="1:116" x14ac:dyDescent="0.2">
      <c r="A6">
        <v>208128</v>
      </c>
      <c r="B6" t="s">
        <v>299</v>
      </c>
      <c r="C6">
        <v>26</v>
      </c>
      <c r="D6">
        <v>4</v>
      </c>
      <c r="E6" s="1">
        <v>45919</v>
      </c>
      <c r="F6" t="s">
        <v>300</v>
      </c>
      <c r="G6">
        <v>0</v>
      </c>
      <c r="H6">
        <v>1</v>
      </c>
      <c r="I6" t="s">
        <v>301</v>
      </c>
      <c r="J6" t="s">
        <v>76</v>
      </c>
      <c r="K6">
        <v>86</v>
      </c>
      <c r="L6">
        <v>86</v>
      </c>
      <c r="M6">
        <v>47500000</v>
      </c>
      <c r="N6">
        <v>61000</v>
      </c>
      <c r="O6">
        <v>31</v>
      </c>
      <c r="P6" s="1">
        <v>34373</v>
      </c>
      <c r="Q6">
        <v>178</v>
      </c>
      <c r="R6">
        <v>69</v>
      </c>
      <c r="S6">
        <v>31</v>
      </c>
      <c r="T6" t="s">
        <v>250</v>
      </c>
      <c r="U6">
        <v>1</v>
      </c>
      <c r="V6">
        <v>44</v>
      </c>
      <c r="W6" t="s">
        <v>251</v>
      </c>
      <c r="X6" t="s">
        <v>28</v>
      </c>
      <c r="Y6">
        <v>20</v>
      </c>
      <c r="AA6" s="1">
        <v>45474</v>
      </c>
      <c r="AB6">
        <v>2027</v>
      </c>
      <c r="AC6">
        <v>48</v>
      </c>
      <c r="AD6" t="s">
        <v>302</v>
      </c>
      <c r="AH6" t="s">
        <v>2</v>
      </c>
      <c r="AI6">
        <v>5</v>
      </c>
      <c r="AJ6">
        <v>4</v>
      </c>
      <c r="AK6">
        <v>4</v>
      </c>
      <c r="AM6" t="s">
        <v>3</v>
      </c>
      <c r="AN6" t="s">
        <v>254</v>
      </c>
      <c r="AO6">
        <v>78400000</v>
      </c>
      <c r="AP6" t="s">
        <v>303</v>
      </c>
      <c r="AQ6">
        <v>0</v>
      </c>
      <c r="AR6" t="s">
        <v>304</v>
      </c>
      <c r="AS6">
        <v>71</v>
      </c>
      <c r="AT6">
        <v>81</v>
      </c>
      <c r="AU6">
        <v>87</v>
      </c>
      <c r="AV6">
        <v>82</v>
      </c>
      <c r="AW6">
        <v>81</v>
      </c>
      <c r="AX6">
        <v>73</v>
      </c>
      <c r="AY6">
        <v>78</v>
      </c>
      <c r="AZ6">
        <v>75</v>
      </c>
      <c r="BA6">
        <v>65</v>
      </c>
      <c r="BB6">
        <v>90</v>
      </c>
      <c r="BC6">
        <v>78</v>
      </c>
      <c r="BD6">
        <v>78</v>
      </c>
      <c r="BE6">
        <v>88</v>
      </c>
      <c r="BF6">
        <v>85</v>
      </c>
      <c r="BG6">
        <v>89</v>
      </c>
      <c r="BH6">
        <v>87</v>
      </c>
      <c r="BI6">
        <v>74</v>
      </c>
      <c r="BJ6">
        <v>68</v>
      </c>
      <c r="BK6">
        <v>83</v>
      </c>
      <c r="BL6">
        <v>87</v>
      </c>
      <c r="BM6">
        <v>77</v>
      </c>
      <c r="BN6">
        <v>87</v>
      </c>
      <c r="BO6">
        <v>73</v>
      </c>
      <c r="BP6">
        <v>81</v>
      </c>
      <c r="BQ6">
        <v>65</v>
      </c>
      <c r="BR6">
        <v>87</v>
      </c>
      <c r="BS6">
        <v>83</v>
      </c>
      <c r="BT6">
        <v>82</v>
      </c>
      <c r="BU6">
        <v>73</v>
      </c>
      <c r="BV6">
        <v>89</v>
      </c>
      <c r="BW6">
        <v>92</v>
      </c>
      <c r="BX6">
        <v>85</v>
      </c>
      <c r="BY6">
        <v>81</v>
      </c>
      <c r="BZ6">
        <v>85</v>
      </c>
      <c r="CA6">
        <v>80</v>
      </c>
      <c r="CB6">
        <v>9</v>
      </c>
      <c r="CC6">
        <v>14</v>
      </c>
      <c r="CD6">
        <v>11</v>
      </c>
      <c r="CE6">
        <v>6</v>
      </c>
      <c r="CF6">
        <v>10</v>
      </c>
      <c r="CH6" t="s">
        <v>10</v>
      </c>
      <c r="CI6" t="s">
        <v>10</v>
      </c>
      <c r="CJ6" t="s">
        <v>10</v>
      </c>
      <c r="CK6" t="s">
        <v>36</v>
      </c>
      <c r="CL6" t="s">
        <v>36</v>
      </c>
      <c r="CM6" t="s">
        <v>36</v>
      </c>
      <c r="CN6" t="s">
        <v>36</v>
      </c>
      <c r="CO6" t="s">
        <v>36</v>
      </c>
      <c r="CP6" t="s">
        <v>259</v>
      </c>
      <c r="CQ6" t="s">
        <v>259</v>
      </c>
      <c r="CR6" t="s">
        <v>259</v>
      </c>
      <c r="CS6" t="s">
        <v>305</v>
      </c>
      <c r="CT6" t="s">
        <v>306</v>
      </c>
      <c r="CU6" t="s">
        <v>306</v>
      </c>
      <c r="CV6" t="s">
        <v>306</v>
      </c>
      <c r="CW6" t="s">
        <v>305</v>
      </c>
      <c r="CX6" t="s">
        <v>260</v>
      </c>
      <c r="CY6" t="s">
        <v>307</v>
      </c>
      <c r="CZ6" t="s">
        <v>307</v>
      </c>
      <c r="DA6" t="s">
        <v>307</v>
      </c>
      <c r="DB6" t="s">
        <v>260</v>
      </c>
      <c r="DC6" t="s">
        <v>305</v>
      </c>
      <c r="DD6" t="s">
        <v>7</v>
      </c>
      <c r="DE6" t="s">
        <v>7</v>
      </c>
      <c r="DF6" t="s">
        <v>7</v>
      </c>
      <c r="DG6" t="s">
        <v>305</v>
      </c>
      <c r="DH6" t="s">
        <v>293</v>
      </c>
      <c r="DI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13.334469800000003</v>
      </c>
      <c r="DJ6" t="s">
        <v>308</v>
      </c>
      <c r="DK6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3.3216957987890625</v>
      </c>
      <c r="DL6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13.483791036276017</v>
      </c>
    </row>
    <row r="7" spans="1:116" x14ac:dyDescent="0.2">
      <c r="A7">
        <v>211110</v>
      </c>
      <c r="B7" t="s">
        <v>309</v>
      </c>
      <c r="C7">
        <v>26</v>
      </c>
      <c r="D7">
        <v>4</v>
      </c>
      <c r="E7" s="1">
        <v>45919</v>
      </c>
      <c r="F7" t="s">
        <v>310</v>
      </c>
      <c r="G7">
        <v>0</v>
      </c>
      <c r="H7">
        <v>0</v>
      </c>
      <c r="I7" t="s">
        <v>311</v>
      </c>
      <c r="J7" t="s">
        <v>312</v>
      </c>
      <c r="K7">
        <v>86</v>
      </c>
      <c r="L7">
        <v>86</v>
      </c>
      <c r="M7">
        <v>56500000</v>
      </c>
      <c r="N7">
        <v>105000</v>
      </c>
      <c r="O7">
        <v>31</v>
      </c>
      <c r="P7" s="1">
        <v>34288</v>
      </c>
      <c r="Q7">
        <v>177</v>
      </c>
      <c r="R7">
        <v>75</v>
      </c>
      <c r="S7">
        <v>31</v>
      </c>
      <c r="T7" t="s">
        <v>250</v>
      </c>
      <c r="U7">
        <v>1</v>
      </c>
      <c r="V7">
        <v>52</v>
      </c>
      <c r="W7" t="s">
        <v>313</v>
      </c>
      <c r="X7" t="s">
        <v>314</v>
      </c>
      <c r="Y7">
        <v>21</v>
      </c>
      <c r="AA7" s="1">
        <v>44762</v>
      </c>
      <c r="AB7">
        <v>2026</v>
      </c>
      <c r="AC7">
        <v>52</v>
      </c>
      <c r="AD7" t="s">
        <v>252</v>
      </c>
      <c r="AE7">
        <v>1369</v>
      </c>
      <c r="AF7" t="s">
        <v>110</v>
      </c>
      <c r="AG7">
        <v>21</v>
      </c>
      <c r="AH7" t="s">
        <v>18</v>
      </c>
      <c r="AI7">
        <v>3</v>
      </c>
      <c r="AJ7">
        <v>5</v>
      </c>
      <c r="AK7">
        <v>4</v>
      </c>
      <c r="AM7" t="s">
        <v>253</v>
      </c>
      <c r="AN7" t="s">
        <v>254</v>
      </c>
      <c r="AO7">
        <v>96100000</v>
      </c>
      <c r="AP7" t="s">
        <v>315</v>
      </c>
      <c r="AQ7">
        <v>1</v>
      </c>
      <c r="AR7" t="s">
        <v>316</v>
      </c>
      <c r="AS7">
        <v>80</v>
      </c>
      <c r="AT7">
        <v>85</v>
      </c>
      <c r="AU7">
        <v>84</v>
      </c>
      <c r="AV7">
        <v>87</v>
      </c>
      <c r="AW7">
        <v>41</v>
      </c>
      <c r="AX7">
        <v>64</v>
      </c>
      <c r="AY7">
        <v>82</v>
      </c>
      <c r="AZ7">
        <v>85</v>
      </c>
      <c r="BA7">
        <v>65</v>
      </c>
      <c r="BB7">
        <v>84</v>
      </c>
      <c r="BC7">
        <v>92</v>
      </c>
      <c r="BD7">
        <v>87</v>
      </c>
      <c r="BE7">
        <v>89</v>
      </c>
      <c r="BF7">
        <v>87</v>
      </c>
      <c r="BG7">
        <v>79</v>
      </c>
      <c r="BH7">
        <v>88</v>
      </c>
      <c r="BI7">
        <v>84</v>
      </c>
      <c r="BJ7">
        <v>76</v>
      </c>
      <c r="BK7">
        <v>88</v>
      </c>
      <c r="BL7">
        <v>86</v>
      </c>
      <c r="BM7">
        <v>87</v>
      </c>
      <c r="BN7">
        <v>84</v>
      </c>
      <c r="BO7">
        <v>76</v>
      </c>
      <c r="BP7">
        <v>76</v>
      </c>
      <c r="BQ7">
        <v>63</v>
      </c>
      <c r="BR7">
        <v>86</v>
      </c>
      <c r="BS7">
        <v>48</v>
      </c>
      <c r="BT7">
        <v>42</v>
      </c>
      <c r="BU7">
        <v>83</v>
      </c>
      <c r="BV7">
        <v>88</v>
      </c>
      <c r="BW7">
        <v>88</v>
      </c>
      <c r="BX7">
        <v>89</v>
      </c>
      <c r="BY7">
        <v>32</v>
      </c>
      <c r="BZ7">
        <v>42</v>
      </c>
      <c r="CA7">
        <v>39</v>
      </c>
      <c r="CB7">
        <v>5</v>
      </c>
      <c r="CC7">
        <v>4</v>
      </c>
      <c r="CD7">
        <v>4</v>
      </c>
      <c r="CE7">
        <v>5</v>
      </c>
      <c r="CF7">
        <v>8</v>
      </c>
      <c r="CH7" t="s">
        <v>260</v>
      </c>
      <c r="CI7" t="s">
        <v>260</v>
      </c>
      <c r="CJ7" t="s">
        <v>260</v>
      </c>
      <c r="CK7" t="s">
        <v>258</v>
      </c>
      <c r="CL7" t="s">
        <v>258</v>
      </c>
      <c r="CM7" t="s">
        <v>258</v>
      </c>
      <c r="CN7" t="s">
        <v>258</v>
      </c>
      <c r="CO7" t="s">
        <v>258</v>
      </c>
      <c r="CP7" t="s">
        <v>317</v>
      </c>
      <c r="CQ7" t="s">
        <v>317</v>
      </c>
      <c r="CR7" t="s">
        <v>317</v>
      </c>
      <c r="CS7" t="s">
        <v>307</v>
      </c>
      <c r="CT7" t="s">
        <v>269</v>
      </c>
      <c r="CU7" t="s">
        <v>269</v>
      </c>
      <c r="CV7" t="s">
        <v>269</v>
      </c>
      <c r="CW7" t="s">
        <v>307</v>
      </c>
      <c r="CX7" t="s">
        <v>11</v>
      </c>
      <c r="CY7" t="s">
        <v>318</v>
      </c>
      <c r="CZ7" t="s">
        <v>318</v>
      </c>
      <c r="DA7" t="s">
        <v>318</v>
      </c>
      <c r="DB7" t="s">
        <v>11</v>
      </c>
      <c r="DC7" t="s">
        <v>12</v>
      </c>
      <c r="DD7" t="s">
        <v>319</v>
      </c>
      <c r="DE7" t="s">
        <v>319</v>
      </c>
      <c r="DF7" t="s">
        <v>319</v>
      </c>
      <c r="DG7" t="s">
        <v>12</v>
      </c>
      <c r="DH7" t="s">
        <v>320</v>
      </c>
      <c r="DI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13.338438599999998</v>
      </c>
      <c r="DJ7" t="s">
        <v>321</v>
      </c>
      <c r="DK7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3.2312435556249999</v>
      </c>
      <c r="DL7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13.40172840968115</v>
      </c>
    </row>
    <row r="8" spans="1:116" x14ac:dyDescent="0.2">
      <c r="A8">
        <v>226268</v>
      </c>
      <c r="B8" t="s">
        <v>322</v>
      </c>
      <c r="C8">
        <v>26</v>
      </c>
      <c r="D8">
        <v>4</v>
      </c>
      <c r="E8" s="1">
        <v>45919</v>
      </c>
      <c r="F8" t="s">
        <v>323</v>
      </c>
      <c r="G8">
        <v>1</v>
      </c>
      <c r="H8">
        <v>0</v>
      </c>
      <c r="I8" t="s">
        <v>324</v>
      </c>
      <c r="J8" t="s">
        <v>82</v>
      </c>
      <c r="K8">
        <v>85</v>
      </c>
      <c r="L8">
        <v>85</v>
      </c>
      <c r="M8">
        <v>52000000</v>
      </c>
      <c r="N8">
        <v>54000</v>
      </c>
      <c r="O8">
        <v>27</v>
      </c>
      <c r="P8" s="1">
        <v>35744</v>
      </c>
      <c r="Q8">
        <v>175</v>
      </c>
      <c r="R8">
        <v>76</v>
      </c>
      <c r="S8">
        <v>31</v>
      </c>
      <c r="T8" t="s">
        <v>250</v>
      </c>
      <c r="U8">
        <v>1</v>
      </c>
      <c r="V8">
        <v>44</v>
      </c>
      <c r="W8" t="s">
        <v>251</v>
      </c>
      <c r="X8" t="s">
        <v>83</v>
      </c>
      <c r="Y8">
        <v>32</v>
      </c>
      <c r="AA8" s="1">
        <v>43286</v>
      </c>
      <c r="AB8">
        <v>2027</v>
      </c>
      <c r="AC8">
        <v>27</v>
      </c>
      <c r="AD8" t="s">
        <v>267</v>
      </c>
      <c r="AE8">
        <v>1343</v>
      </c>
      <c r="AF8" t="s">
        <v>83</v>
      </c>
      <c r="AG8">
        <v>3</v>
      </c>
      <c r="AH8" t="s">
        <v>18</v>
      </c>
      <c r="AI8">
        <v>4</v>
      </c>
      <c r="AJ8">
        <v>3</v>
      </c>
      <c r="AK8">
        <v>3</v>
      </c>
      <c r="AM8" t="s">
        <v>3</v>
      </c>
      <c r="AN8" t="s">
        <v>254</v>
      </c>
      <c r="AO8">
        <v>85800000</v>
      </c>
      <c r="AP8" t="s">
        <v>325</v>
      </c>
      <c r="AQ8">
        <v>1</v>
      </c>
      <c r="AR8" t="s">
        <v>326</v>
      </c>
      <c r="AS8">
        <v>80</v>
      </c>
      <c r="AT8">
        <v>78</v>
      </c>
      <c r="AU8">
        <v>84</v>
      </c>
      <c r="AV8">
        <v>82</v>
      </c>
      <c r="AW8">
        <v>79</v>
      </c>
      <c r="AX8">
        <v>77</v>
      </c>
      <c r="AY8">
        <v>87</v>
      </c>
      <c r="AZ8">
        <v>74</v>
      </c>
      <c r="BA8">
        <v>69</v>
      </c>
      <c r="BB8">
        <v>84</v>
      </c>
      <c r="BC8">
        <v>82</v>
      </c>
      <c r="BD8">
        <v>79</v>
      </c>
      <c r="BE8">
        <v>88</v>
      </c>
      <c r="BF8">
        <v>83</v>
      </c>
      <c r="BG8">
        <v>83</v>
      </c>
      <c r="BH8">
        <v>86</v>
      </c>
      <c r="BI8">
        <v>83</v>
      </c>
      <c r="BJ8">
        <v>78</v>
      </c>
      <c r="BK8">
        <v>84</v>
      </c>
      <c r="BL8">
        <v>83</v>
      </c>
      <c r="BM8">
        <v>81</v>
      </c>
      <c r="BN8">
        <v>81</v>
      </c>
      <c r="BO8">
        <v>81</v>
      </c>
      <c r="BP8">
        <v>84</v>
      </c>
      <c r="BQ8">
        <v>72</v>
      </c>
      <c r="BR8">
        <v>84</v>
      </c>
      <c r="BS8">
        <v>81</v>
      </c>
      <c r="BT8">
        <v>80</v>
      </c>
      <c r="BU8">
        <v>83</v>
      </c>
      <c r="BV8">
        <v>80</v>
      </c>
      <c r="BW8">
        <v>71</v>
      </c>
      <c r="BX8">
        <v>78</v>
      </c>
      <c r="BY8">
        <v>81</v>
      </c>
      <c r="BZ8">
        <v>81</v>
      </c>
      <c r="CA8">
        <v>79</v>
      </c>
      <c r="CB8">
        <v>9</v>
      </c>
      <c r="CC8">
        <v>8</v>
      </c>
      <c r="CD8">
        <v>12</v>
      </c>
      <c r="CE8">
        <v>7</v>
      </c>
      <c r="CF8">
        <v>7</v>
      </c>
      <c r="CH8" t="s">
        <v>7</v>
      </c>
      <c r="CI8" t="s">
        <v>7</v>
      </c>
      <c r="CJ8" t="s">
        <v>7</v>
      </c>
      <c r="CK8" t="s">
        <v>9</v>
      </c>
      <c r="CL8" t="s">
        <v>36</v>
      </c>
      <c r="CM8" t="s">
        <v>36</v>
      </c>
      <c r="CN8" t="s">
        <v>36</v>
      </c>
      <c r="CO8" t="s">
        <v>9</v>
      </c>
      <c r="CP8" t="s">
        <v>260</v>
      </c>
      <c r="CQ8" t="s">
        <v>260</v>
      </c>
      <c r="CR8" t="s">
        <v>260</v>
      </c>
      <c r="CS8" t="s">
        <v>260</v>
      </c>
      <c r="CT8" t="s">
        <v>327</v>
      </c>
      <c r="CU8" t="s">
        <v>327</v>
      </c>
      <c r="CV8" t="s">
        <v>327</v>
      </c>
      <c r="CW8" t="s">
        <v>260</v>
      </c>
      <c r="CX8" t="s">
        <v>260</v>
      </c>
      <c r="CY8" t="s">
        <v>260</v>
      </c>
      <c r="CZ8" t="s">
        <v>260</v>
      </c>
      <c r="DA8" t="s">
        <v>260</v>
      </c>
      <c r="DB8" t="s">
        <v>260</v>
      </c>
      <c r="DC8" t="s">
        <v>260</v>
      </c>
      <c r="DD8" t="s">
        <v>7</v>
      </c>
      <c r="DE8" t="s">
        <v>7</v>
      </c>
      <c r="DF8" t="s">
        <v>7</v>
      </c>
      <c r="DG8" t="s">
        <v>260</v>
      </c>
      <c r="DH8" t="s">
        <v>40</v>
      </c>
      <c r="DI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14.0182533</v>
      </c>
      <c r="DJ8" t="s">
        <v>328</v>
      </c>
      <c r="DK8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3.1569240000000001</v>
      </c>
      <c r="DL8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14.172515832787997</v>
      </c>
    </row>
    <row r="9" spans="1:116" x14ac:dyDescent="0.2">
      <c r="A9">
        <v>237238</v>
      </c>
      <c r="B9" t="s">
        <v>329</v>
      </c>
      <c r="C9">
        <v>26</v>
      </c>
      <c r="D9">
        <v>4</v>
      </c>
      <c r="E9" s="1">
        <v>45919</v>
      </c>
      <c r="F9" t="s">
        <v>330</v>
      </c>
      <c r="G9">
        <v>0</v>
      </c>
      <c r="H9">
        <v>1</v>
      </c>
      <c r="I9" t="s">
        <v>331</v>
      </c>
      <c r="J9" t="s">
        <v>332</v>
      </c>
      <c r="K9">
        <v>85</v>
      </c>
      <c r="L9">
        <v>85</v>
      </c>
      <c r="M9">
        <v>54000000</v>
      </c>
      <c r="N9">
        <v>150000</v>
      </c>
      <c r="O9">
        <v>28</v>
      </c>
      <c r="P9" s="1">
        <v>35407</v>
      </c>
      <c r="Q9">
        <v>193</v>
      </c>
      <c r="R9">
        <v>88</v>
      </c>
      <c r="S9">
        <v>31</v>
      </c>
      <c r="T9" t="s">
        <v>250</v>
      </c>
      <c r="U9">
        <v>1</v>
      </c>
      <c r="V9">
        <v>48</v>
      </c>
      <c r="W9" t="s">
        <v>278</v>
      </c>
      <c r="X9" t="s">
        <v>104</v>
      </c>
      <c r="Y9">
        <v>8</v>
      </c>
      <c r="AA9" s="1">
        <v>45534</v>
      </c>
      <c r="AB9">
        <v>2029</v>
      </c>
      <c r="AC9">
        <v>42</v>
      </c>
      <c r="AD9" t="s">
        <v>333</v>
      </c>
      <c r="AE9">
        <v>1359</v>
      </c>
      <c r="AF9" t="s">
        <v>0</v>
      </c>
      <c r="AG9">
        <v>4</v>
      </c>
      <c r="AH9" t="s">
        <v>2</v>
      </c>
      <c r="AI9">
        <v>3</v>
      </c>
      <c r="AJ9">
        <v>3</v>
      </c>
      <c r="AK9">
        <v>3</v>
      </c>
      <c r="AM9" t="s">
        <v>88</v>
      </c>
      <c r="AN9" t="s">
        <v>254</v>
      </c>
      <c r="AO9">
        <v>91800000</v>
      </c>
      <c r="AQ9">
        <v>0</v>
      </c>
      <c r="AR9" t="s">
        <v>334</v>
      </c>
      <c r="AS9">
        <v>76</v>
      </c>
      <c r="AT9">
        <v>82</v>
      </c>
      <c r="AU9">
        <v>77</v>
      </c>
      <c r="AV9">
        <v>80</v>
      </c>
      <c r="AW9">
        <v>80</v>
      </c>
      <c r="AX9">
        <v>85</v>
      </c>
      <c r="AY9">
        <v>66</v>
      </c>
      <c r="AZ9">
        <v>84</v>
      </c>
      <c r="BA9">
        <v>81</v>
      </c>
      <c r="BB9">
        <v>84</v>
      </c>
      <c r="BC9">
        <v>76</v>
      </c>
      <c r="BD9">
        <v>84</v>
      </c>
      <c r="BE9">
        <v>69</v>
      </c>
      <c r="BF9">
        <v>60</v>
      </c>
      <c r="BG9">
        <v>81</v>
      </c>
      <c r="BH9">
        <v>85</v>
      </c>
      <c r="BI9">
        <v>70</v>
      </c>
      <c r="BJ9">
        <v>80</v>
      </c>
      <c r="BK9">
        <v>55</v>
      </c>
      <c r="BL9">
        <v>86</v>
      </c>
      <c r="BM9">
        <v>48</v>
      </c>
      <c r="BN9">
        <v>86</v>
      </c>
      <c r="BO9">
        <v>86</v>
      </c>
      <c r="BP9">
        <v>92</v>
      </c>
      <c r="BQ9">
        <v>82</v>
      </c>
      <c r="BR9">
        <v>81</v>
      </c>
      <c r="BS9">
        <v>84</v>
      </c>
      <c r="BT9">
        <v>81</v>
      </c>
      <c r="BU9">
        <v>87</v>
      </c>
      <c r="BV9">
        <v>79</v>
      </c>
      <c r="BW9">
        <v>60</v>
      </c>
      <c r="BX9">
        <v>80</v>
      </c>
      <c r="BY9">
        <v>78</v>
      </c>
      <c r="BZ9">
        <v>81</v>
      </c>
      <c r="CA9">
        <v>75</v>
      </c>
      <c r="CB9">
        <v>9</v>
      </c>
      <c r="CC9">
        <v>6</v>
      </c>
      <c r="CD9">
        <v>6</v>
      </c>
      <c r="CE9">
        <v>10</v>
      </c>
      <c r="CF9">
        <v>11</v>
      </c>
      <c r="CH9" t="s">
        <v>327</v>
      </c>
      <c r="CI9" t="s">
        <v>327</v>
      </c>
      <c r="CJ9" t="s">
        <v>327</v>
      </c>
      <c r="CK9" t="s">
        <v>35</v>
      </c>
      <c r="CL9" t="s">
        <v>8</v>
      </c>
      <c r="CM9" t="s">
        <v>8</v>
      </c>
      <c r="CN9" t="s">
        <v>8</v>
      </c>
      <c r="CO9" t="s">
        <v>35</v>
      </c>
      <c r="CP9" t="s">
        <v>260</v>
      </c>
      <c r="CQ9" t="s">
        <v>260</v>
      </c>
      <c r="CR9" t="s">
        <v>260</v>
      </c>
      <c r="CS9" t="s">
        <v>305</v>
      </c>
      <c r="CT9" t="s">
        <v>335</v>
      </c>
      <c r="CU9" t="s">
        <v>335</v>
      </c>
      <c r="CV9" t="s">
        <v>335</v>
      </c>
      <c r="CW9" t="s">
        <v>305</v>
      </c>
      <c r="CX9" t="s">
        <v>269</v>
      </c>
      <c r="CY9" t="s">
        <v>260</v>
      </c>
      <c r="CZ9" t="s">
        <v>260</v>
      </c>
      <c r="DA9" t="s">
        <v>260</v>
      </c>
      <c r="DB9" t="s">
        <v>269</v>
      </c>
      <c r="DC9" t="s">
        <v>269</v>
      </c>
      <c r="DD9" t="s">
        <v>305</v>
      </c>
      <c r="DE9" t="s">
        <v>305</v>
      </c>
      <c r="DF9" t="s">
        <v>305</v>
      </c>
      <c r="DG9" t="s">
        <v>269</v>
      </c>
      <c r="DH9" t="s">
        <v>46</v>
      </c>
      <c r="DI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13.668274799999999</v>
      </c>
      <c r="DJ9" t="s">
        <v>336</v>
      </c>
      <c r="DK9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2.841731550625</v>
      </c>
      <c r="DL9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13.758591225126215</v>
      </c>
    </row>
    <row r="10" spans="1:116" x14ac:dyDescent="0.2">
      <c r="A10">
        <v>228093</v>
      </c>
      <c r="B10" t="s">
        <v>337</v>
      </c>
      <c r="C10">
        <v>26</v>
      </c>
      <c r="D10">
        <v>4</v>
      </c>
      <c r="E10" s="1">
        <v>45919</v>
      </c>
      <c r="F10" t="s">
        <v>338</v>
      </c>
      <c r="G10">
        <v>0</v>
      </c>
      <c r="H10">
        <v>0</v>
      </c>
      <c r="I10" t="s">
        <v>339</v>
      </c>
      <c r="J10" t="s">
        <v>34</v>
      </c>
      <c r="K10">
        <v>85</v>
      </c>
      <c r="L10">
        <v>85</v>
      </c>
      <c r="M10">
        <v>58500000</v>
      </c>
      <c r="N10">
        <v>61000</v>
      </c>
      <c r="O10">
        <v>27</v>
      </c>
      <c r="P10" s="1">
        <v>35648</v>
      </c>
      <c r="Q10">
        <v>192</v>
      </c>
      <c r="R10">
        <v>80</v>
      </c>
      <c r="S10">
        <v>31</v>
      </c>
      <c r="T10" t="s">
        <v>250</v>
      </c>
      <c r="U10">
        <v>1</v>
      </c>
      <c r="V10">
        <v>44</v>
      </c>
      <c r="W10" t="s">
        <v>251</v>
      </c>
      <c r="X10" t="s">
        <v>41</v>
      </c>
      <c r="Y10">
        <v>9</v>
      </c>
      <c r="AA10" s="1">
        <v>45108</v>
      </c>
      <c r="AB10">
        <v>2028</v>
      </c>
      <c r="AC10">
        <v>18</v>
      </c>
      <c r="AD10" t="s">
        <v>296</v>
      </c>
      <c r="AE10">
        <v>1335</v>
      </c>
      <c r="AF10" t="s">
        <v>110</v>
      </c>
      <c r="AG10">
        <v>9</v>
      </c>
      <c r="AH10" t="s">
        <v>2</v>
      </c>
      <c r="AI10">
        <v>4</v>
      </c>
      <c r="AJ10">
        <v>3</v>
      </c>
      <c r="AK10">
        <v>3</v>
      </c>
      <c r="AM10" t="s">
        <v>88</v>
      </c>
      <c r="AN10" t="s">
        <v>254</v>
      </c>
      <c r="AO10">
        <v>96500000</v>
      </c>
      <c r="AQ10">
        <v>0</v>
      </c>
      <c r="AR10" t="s">
        <v>340</v>
      </c>
      <c r="AS10">
        <v>86</v>
      </c>
      <c r="AT10">
        <v>83</v>
      </c>
      <c r="AU10">
        <v>76</v>
      </c>
      <c r="AV10">
        <v>82</v>
      </c>
      <c r="AW10">
        <v>50</v>
      </c>
      <c r="AX10">
        <v>80</v>
      </c>
      <c r="AY10">
        <v>76</v>
      </c>
      <c r="AZ10">
        <v>85</v>
      </c>
      <c r="BA10">
        <v>84</v>
      </c>
      <c r="BB10">
        <v>80</v>
      </c>
      <c r="BC10">
        <v>81</v>
      </c>
      <c r="BD10">
        <v>85</v>
      </c>
      <c r="BE10">
        <v>73</v>
      </c>
      <c r="BF10">
        <v>58</v>
      </c>
      <c r="BG10">
        <v>70</v>
      </c>
      <c r="BH10">
        <v>81</v>
      </c>
      <c r="BI10">
        <v>84</v>
      </c>
      <c r="BJ10">
        <v>88</v>
      </c>
      <c r="BK10">
        <v>78</v>
      </c>
      <c r="BL10">
        <v>84</v>
      </c>
      <c r="BM10">
        <v>61</v>
      </c>
      <c r="BN10">
        <v>84</v>
      </c>
      <c r="BO10">
        <v>91</v>
      </c>
      <c r="BP10">
        <v>83</v>
      </c>
      <c r="BQ10">
        <v>79</v>
      </c>
      <c r="BR10">
        <v>79</v>
      </c>
      <c r="BS10">
        <v>75</v>
      </c>
      <c r="BT10">
        <v>50</v>
      </c>
      <c r="BU10">
        <v>86</v>
      </c>
      <c r="BV10">
        <v>78</v>
      </c>
      <c r="BW10">
        <v>70</v>
      </c>
      <c r="BX10">
        <v>78</v>
      </c>
      <c r="BY10">
        <v>44</v>
      </c>
      <c r="BZ10">
        <v>48</v>
      </c>
      <c r="CA10">
        <v>42</v>
      </c>
      <c r="CB10">
        <v>11</v>
      </c>
      <c r="CC10">
        <v>13</v>
      </c>
      <c r="CD10">
        <v>14</v>
      </c>
      <c r="CE10">
        <v>9</v>
      </c>
      <c r="CF10">
        <v>15</v>
      </c>
      <c r="CH10" t="s">
        <v>335</v>
      </c>
      <c r="CI10" t="s">
        <v>335</v>
      </c>
      <c r="CJ10" t="s">
        <v>335</v>
      </c>
      <c r="CK10" t="s">
        <v>9</v>
      </c>
      <c r="CL10" t="s">
        <v>8</v>
      </c>
      <c r="CM10" t="s">
        <v>8</v>
      </c>
      <c r="CN10" t="s">
        <v>8</v>
      </c>
      <c r="CO10" t="s">
        <v>9</v>
      </c>
      <c r="CP10" t="s">
        <v>260</v>
      </c>
      <c r="CQ10" t="s">
        <v>260</v>
      </c>
      <c r="CR10" t="s">
        <v>260</v>
      </c>
      <c r="CS10" t="s">
        <v>260</v>
      </c>
      <c r="CT10" t="s">
        <v>30</v>
      </c>
      <c r="CU10" t="s">
        <v>30</v>
      </c>
      <c r="CV10" t="s">
        <v>30</v>
      </c>
      <c r="CW10" t="s">
        <v>260</v>
      </c>
      <c r="CX10" t="s">
        <v>37</v>
      </c>
      <c r="CY10" t="s">
        <v>11</v>
      </c>
      <c r="CZ10" t="s">
        <v>11</v>
      </c>
      <c r="DA10" t="s">
        <v>11</v>
      </c>
      <c r="DB10" t="s">
        <v>37</v>
      </c>
      <c r="DC10" t="s">
        <v>11</v>
      </c>
      <c r="DD10" t="s">
        <v>318</v>
      </c>
      <c r="DE10" t="s">
        <v>318</v>
      </c>
      <c r="DF10" t="s">
        <v>318</v>
      </c>
      <c r="DG10" t="s">
        <v>11</v>
      </c>
      <c r="DH10" t="s">
        <v>32</v>
      </c>
      <c r="DI1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13.859984899999999</v>
      </c>
      <c r="DJ10" t="s">
        <v>341</v>
      </c>
      <c r="DK10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2.8014161756249996</v>
      </c>
      <c r="DL10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13.943724520401091</v>
      </c>
    </row>
    <row r="11" spans="1:116" x14ac:dyDescent="0.2">
      <c r="A11">
        <v>239580</v>
      </c>
      <c r="B11" t="s">
        <v>342</v>
      </c>
      <c r="C11">
        <v>26</v>
      </c>
      <c r="D11">
        <v>4</v>
      </c>
      <c r="E11" s="1">
        <v>45919</v>
      </c>
      <c r="F11" t="s">
        <v>343</v>
      </c>
      <c r="G11">
        <v>1</v>
      </c>
      <c r="H11">
        <v>0</v>
      </c>
      <c r="I11" t="s">
        <v>344</v>
      </c>
      <c r="J11" t="s">
        <v>71</v>
      </c>
      <c r="K11">
        <v>85</v>
      </c>
      <c r="L11">
        <v>86</v>
      </c>
      <c r="M11">
        <v>51000000</v>
      </c>
      <c r="N11">
        <v>170000</v>
      </c>
      <c r="O11">
        <v>28</v>
      </c>
      <c r="P11" s="1">
        <v>35507</v>
      </c>
      <c r="Q11">
        <v>187</v>
      </c>
      <c r="R11">
        <v>84</v>
      </c>
      <c r="S11">
        <v>31</v>
      </c>
      <c r="T11" t="s">
        <v>250</v>
      </c>
      <c r="U11">
        <v>1</v>
      </c>
      <c r="V11">
        <v>45</v>
      </c>
      <c r="W11" t="s">
        <v>345</v>
      </c>
      <c r="X11" t="s">
        <v>71</v>
      </c>
      <c r="Y11">
        <v>3</v>
      </c>
      <c r="AA11" s="1">
        <v>44762</v>
      </c>
      <c r="AB11">
        <v>2029</v>
      </c>
      <c r="AC11">
        <v>54</v>
      </c>
      <c r="AD11" t="s">
        <v>1</v>
      </c>
      <c r="AH11" t="s">
        <v>2</v>
      </c>
      <c r="AI11">
        <v>2</v>
      </c>
      <c r="AJ11">
        <v>2</v>
      </c>
      <c r="AK11">
        <v>4</v>
      </c>
      <c r="AM11" t="s">
        <v>107</v>
      </c>
      <c r="AN11" t="s">
        <v>254</v>
      </c>
      <c r="AO11">
        <v>90500000</v>
      </c>
      <c r="AQ11">
        <v>0</v>
      </c>
      <c r="AR11" t="s">
        <v>346</v>
      </c>
      <c r="AS11">
        <v>82</v>
      </c>
      <c r="AT11">
        <v>50</v>
      </c>
      <c r="AU11">
        <v>58</v>
      </c>
      <c r="AV11">
        <v>66</v>
      </c>
      <c r="AW11">
        <v>86</v>
      </c>
      <c r="AX11">
        <v>80</v>
      </c>
      <c r="AY11">
        <v>46</v>
      </c>
      <c r="AZ11">
        <v>49</v>
      </c>
      <c r="BA11">
        <v>87</v>
      </c>
      <c r="BB11">
        <v>75</v>
      </c>
      <c r="BC11">
        <v>38</v>
      </c>
      <c r="BD11">
        <v>62</v>
      </c>
      <c r="BE11">
        <v>42</v>
      </c>
      <c r="BF11">
        <v>24</v>
      </c>
      <c r="BG11">
        <v>69</v>
      </c>
      <c r="BH11">
        <v>68</v>
      </c>
      <c r="BI11">
        <v>78</v>
      </c>
      <c r="BJ11">
        <v>86</v>
      </c>
      <c r="BK11">
        <v>65</v>
      </c>
      <c r="BL11">
        <v>78</v>
      </c>
      <c r="BM11">
        <v>63</v>
      </c>
      <c r="BN11">
        <v>68</v>
      </c>
      <c r="BO11">
        <v>92</v>
      </c>
      <c r="BP11">
        <v>65</v>
      </c>
      <c r="BQ11">
        <v>84</v>
      </c>
      <c r="BR11">
        <v>39</v>
      </c>
      <c r="BS11">
        <v>84</v>
      </c>
      <c r="BT11">
        <v>84</v>
      </c>
      <c r="BU11">
        <v>58</v>
      </c>
      <c r="BV11">
        <v>45</v>
      </c>
      <c r="BW11">
        <v>43</v>
      </c>
      <c r="BX11">
        <v>78</v>
      </c>
      <c r="BY11">
        <v>87</v>
      </c>
      <c r="BZ11">
        <v>87</v>
      </c>
      <c r="CA11">
        <v>84</v>
      </c>
      <c r="CB11">
        <v>13</v>
      </c>
      <c r="CC11">
        <v>15</v>
      </c>
      <c r="CD11">
        <v>13</v>
      </c>
      <c r="CE11">
        <v>5</v>
      </c>
      <c r="CF11">
        <v>6</v>
      </c>
      <c r="CH11" t="s">
        <v>20</v>
      </c>
      <c r="CI11" t="s">
        <v>20</v>
      </c>
      <c r="CJ11" t="s">
        <v>20</v>
      </c>
      <c r="CK11" t="s">
        <v>131</v>
      </c>
      <c r="CL11" t="s">
        <v>50</v>
      </c>
      <c r="CM11" t="s">
        <v>50</v>
      </c>
      <c r="CN11" t="s">
        <v>50</v>
      </c>
      <c r="CO11" t="s">
        <v>131</v>
      </c>
      <c r="CP11" t="s">
        <v>318</v>
      </c>
      <c r="CQ11" t="s">
        <v>318</v>
      </c>
      <c r="CR11" t="s">
        <v>318</v>
      </c>
      <c r="CS11" t="s">
        <v>38</v>
      </c>
      <c r="CT11" t="s">
        <v>11</v>
      </c>
      <c r="CU11" t="s">
        <v>11</v>
      </c>
      <c r="CV11" t="s">
        <v>11</v>
      </c>
      <c r="CW11" t="s">
        <v>38</v>
      </c>
      <c r="CX11" t="s">
        <v>23</v>
      </c>
      <c r="CY11" t="s">
        <v>30</v>
      </c>
      <c r="CZ11" t="s">
        <v>30</v>
      </c>
      <c r="DA11" t="s">
        <v>30</v>
      </c>
      <c r="DB11" t="s">
        <v>23</v>
      </c>
      <c r="DC11" t="s">
        <v>30</v>
      </c>
      <c r="DD11" t="s">
        <v>307</v>
      </c>
      <c r="DE11" t="s">
        <v>307</v>
      </c>
      <c r="DF11" t="s">
        <v>307</v>
      </c>
      <c r="DG11" t="s">
        <v>30</v>
      </c>
      <c r="DH11" t="s">
        <v>46</v>
      </c>
      <c r="DI1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13.4887961</v>
      </c>
      <c r="DJ11" t="s">
        <v>347</v>
      </c>
      <c r="DK11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1.7312805625000001</v>
      </c>
      <c r="DL11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13.506040313090187</v>
      </c>
    </row>
    <row r="12" spans="1:116" x14ac:dyDescent="0.2">
      <c r="A12">
        <v>222077</v>
      </c>
      <c r="B12" t="s">
        <v>350</v>
      </c>
      <c r="C12">
        <v>26</v>
      </c>
      <c r="D12">
        <v>4</v>
      </c>
      <c r="E12" s="1">
        <v>45919</v>
      </c>
      <c r="F12" t="s">
        <v>351</v>
      </c>
      <c r="G12">
        <v>0</v>
      </c>
      <c r="H12">
        <v>1</v>
      </c>
      <c r="I12" t="s">
        <v>352</v>
      </c>
      <c r="J12" t="s">
        <v>76</v>
      </c>
      <c r="K12">
        <v>84</v>
      </c>
      <c r="L12">
        <v>85</v>
      </c>
      <c r="M12">
        <v>43000000</v>
      </c>
      <c r="N12">
        <v>150000</v>
      </c>
      <c r="O12">
        <v>27</v>
      </c>
      <c r="P12" s="1">
        <v>35803</v>
      </c>
      <c r="Q12">
        <v>185</v>
      </c>
      <c r="R12">
        <v>75</v>
      </c>
      <c r="S12">
        <v>31</v>
      </c>
      <c r="T12" t="s">
        <v>250</v>
      </c>
      <c r="U12">
        <v>1</v>
      </c>
      <c r="V12">
        <v>45</v>
      </c>
      <c r="W12" t="s">
        <v>345</v>
      </c>
      <c r="X12" t="s">
        <v>101</v>
      </c>
      <c r="Y12">
        <v>5</v>
      </c>
      <c r="AA12" s="1">
        <v>45108</v>
      </c>
      <c r="AB12">
        <v>2028</v>
      </c>
      <c r="AC12">
        <v>27</v>
      </c>
      <c r="AD12" t="s">
        <v>267</v>
      </c>
      <c r="AE12">
        <v>1343</v>
      </c>
      <c r="AF12" t="s">
        <v>110</v>
      </c>
      <c r="AG12">
        <v>5</v>
      </c>
      <c r="AH12" t="s">
        <v>2</v>
      </c>
      <c r="AI12">
        <v>4</v>
      </c>
      <c r="AJ12">
        <v>3</v>
      </c>
      <c r="AK12">
        <v>3</v>
      </c>
      <c r="AM12" t="s">
        <v>88</v>
      </c>
      <c r="AN12" t="s">
        <v>254</v>
      </c>
      <c r="AO12">
        <v>76300000</v>
      </c>
      <c r="AQ12">
        <v>0</v>
      </c>
      <c r="AR12" t="s">
        <v>353</v>
      </c>
      <c r="AS12">
        <v>63</v>
      </c>
      <c r="AT12">
        <v>69</v>
      </c>
      <c r="AU12">
        <v>80</v>
      </c>
      <c r="AV12">
        <v>76</v>
      </c>
      <c r="AW12">
        <v>81</v>
      </c>
      <c r="AX12">
        <v>78</v>
      </c>
      <c r="AY12">
        <v>73</v>
      </c>
      <c r="AZ12">
        <v>58</v>
      </c>
      <c r="BA12">
        <v>68</v>
      </c>
      <c r="BB12">
        <v>85</v>
      </c>
      <c r="BC12">
        <v>70</v>
      </c>
      <c r="BD12">
        <v>76</v>
      </c>
      <c r="BE12">
        <v>73</v>
      </c>
      <c r="BF12">
        <v>64</v>
      </c>
      <c r="BG12">
        <v>84</v>
      </c>
      <c r="BH12">
        <v>81</v>
      </c>
      <c r="BI12">
        <v>61</v>
      </c>
      <c r="BJ12">
        <v>65</v>
      </c>
      <c r="BK12">
        <v>65</v>
      </c>
      <c r="BL12">
        <v>82</v>
      </c>
      <c r="BM12">
        <v>61</v>
      </c>
      <c r="BN12">
        <v>79</v>
      </c>
      <c r="BO12">
        <v>72</v>
      </c>
      <c r="BP12">
        <v>89</v>
      </c>
      <c r="BQ12">
        <v>71</v>
      </c>
      <c r="BR12">
        <v>80</v>
      </c>
      <c r="BS12">
        <v>81</v>
      </c>
      <c r="BT12">
        <v>81</v>
      </c>
      <c r="BU12">
        <v>68</v>
      </c>
      <c r="BV12">
        <v>82</v>
      </c>
      <c r="BW12">
        <v>75</v>
      </c>
      <c r="BX12">
        <v>82</v>
      </c>
      <c r="BY12">
        <v>82</v>
      </c>
      <c r="BZ12">
        <v>85</v>
      </c>
      <c r="CA12">
        <v>80</v>
      </c>
      <c r="CB12">
        <v>11</v>
      </c>
      <c r="CC12">
        <v>12</v>
      </c>
      <c r="CD12">
        <v>11</v>
      </c>
      <c r="CE12">
        <v>10</v>
      </c>
      <c r="CF12">
        <v>15</v>
      </c>
      <c r="CH12" t="s">
        <v>354</v>
      </c>
      <c r="CI12" t="s">
        <v>354</v>
      </c>
      <c r="CJ12" t="s">
        <v>354</v>
      </c>
      <c r="CK12" t="s">
        <v>21</v>
      </c>
      <c r="CL12" t="s">
        <v>21</v>
      </c>
      <c r="CM12" t="s">
        <v>21</v>
      </c>
      <c r="CN12" t="s">
        <v>21</v>
      </c>
      <c r="CO12" t="s">
        <v>21</v>
      </c>
      <c r="CP12" t="s">
        <v>30</v>
      </c>
      <c r="CQ12" t="s">
        <v>30</v>
      </c>
      <c r="CR12" t="s">
        <v>30</v>
      </c>
      <c r="CS12" t="s">
        <v>24</v>
      </c>
      <c r="CT12" t="s">
        <v>305</v>
      </c>
      <c r="CU12" t="s">
        <v>305</v>
      </c>
      <c r="CV12" t="s">
        <v>305</v>
      </c>
      <c r="CW12" t="s">
        <v>24</v>
      </c>
      <c r="CX12" t="s">
        <v>269</v>
      </c>
      <c r="CY12" t="s">
        <v>327</v>
      </c>
      <c r="CZ12" t="s">
        <v>327</v>
      </c>
      <c r="DA12" t="s">
        <v>327</v>
      </c>
      <c r="DB12" t="s">
        <v>269</v>
      </c>
      <c r="DC12" t="s">
        <v>7</v>
      </c>
      <c r="DD12" t="s">
        <v>7</v>
      </c>
      <c r="DE12" t="s">
        <v>7</v>
      </c>
      <c r="DF12" t="s">
        <v>7</v>
      </c>
      <c r="DG12" t="s">
        <v>7</v>
      </c>
      <c r="DH12" t="s">
        <v>32</v>
      </c>
      <c r="DI1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12.5768877</v>
      </c>
      <c r="DJ12" t="s">
        <v>355</v>
      </c>
      <c r="DK12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2.9800920939062494</v>
      </c>
      <c r="DL12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12.670555615215621</v>
      </c>
    </row>
    <row r="13" spans="1:116" x14ac:dyDescent="0.2">
      <c r="A13">
        <v>233096</v>
      </c>
      <c r="B13" t="s">
        <v>356</v>
      </c>
      <c r="C13">
        <v>26</v>
      </c>
      <c r="D13">
        <v>4</v>
      </c>
      <c r="E13" s="1">
        <v>45919</v>
      </c>
      <c r="F13" t="s">
        <v>357</v>
      </c>
      <c r="G13">
        <v>1</v>
      </c>
      <c r="H13">
        <v>0</v>
      </c>
      <c r="I13" t="s">
        <v>358</v>
      </c>
      <c r="J13" t="s">
        <v>55</v>
      </c>
      <c r="K13">
        <v>84</v>
      </c>
      <c r="L13">
        <v>84</v>
      </c>
      <c r="M13">
        <v>37000000</v>
      </c>
      <c r="N13">
        <v>51000</v>
      </c>
      <c r="O13">
        <v>29</v>
      </c>
      <c r="P13" s="1">
        <v>35173</v>
      </c>
      <c r="Q13">
        <v>188</v>
      </c>
      <c r="R13">
        <v>80</v>
      </c>
      <c r="S13">
        <v>31</v>
      </c>
      <c r="T13" t="s">
        <v>250</v>
      </c>
      <c r="U13">
        <v>1</v>
      </c>
      <c r="V13">
        <v>44</v>
      </c>
      <c r="W13" t="s">
        <v>251</v>
      </c>
      <c r="X13" t="s">
        <v>56</v>
      </c>
      <c r="Y13">
        <v>2</v>
      </c>
      <c r="AA13" s="1">
        <v>44422</v>
      </c>
      <c r="AB13">
        <v>2028</v>
      </c>
      <c r="AC13">
        <v>34</v>
      </c>
      <c r="AD13" t="s">
        <v>359</v>
      </c>
      <c r="AE13">
        <v>105035</v>
      </c>
      <c r="AF13" t="s">
        <v>56</v>
      </c>
      <c r="AG13">
        <v>22</v>
      </c>
      <c r="AH13" t="s">
        <v>2</v>
      </c>
      <c r="AI13">
        <v>3</v>
      </c>
      <c r="AJ13">
        <v>2</v>
      </c>
      <c r="AK13">
        <v>3</v>
      </c>
      <c r="AM13" t="s">
        <v>88</v>
      </c>
      <c r="AN13" t="s">
        <v>254</v>
      </c>
      <c r="AO13">
        <v>61100000</v>
      </c>
      <c r="AQ13">
        <v>0</v>
      </c>
      <c r="AR13" t="s">
        <v>360</v>
      </c>
      <c r="AS13">
        <v>84</v>
      </c>
      <c r="AT13">
        <v>70</v>
      </c>
      <c r="AU13">
        <v>75</v>
      </c>
      <c r="AV13">
        <v>79</v>
      </c>
      <c r="AW13">
        <v>79</v>
      </c>
      <c r="AX13">
        <v>84</v>
      </c>
      <c r="AY13">
        <v>82</v>
      </c>
      <c r="AZ13">
        <v>75</v>
      </c>
      <c r="BA13">
        <v>85</v>
      </c>
      <c r="BB13">
        <v>80</v>
      </c>
      <c r="BC13">
        <v>51</v>
      </c>
      <c r="BD13">
        <v>80</v>
      </c>
      <c r="BE13">
        <v>72</v>
      </c>
      <c r="BF13">
        <v>45</v>
      </c>
      <c r="BG13">
        <v>74</v>
      </c>
      <c r="BH13">
        <v>82</v>
      </c>
      <c r="BI13">
        <v>78</v>
      </c>
      <c r="BJ13">
        <v>88</v>
      </c>
      <c r="BK13">
        <v>69</v>
      </c>
      <c r="BL13">
        <v>83</v>
      </c>
      <c r="BM13">
        <v>60</v>
      </c>
      <c r="BN13">
        <v>74</v>
      </c>
      <c r="BO13">
        <v>91</v>
      </c>
      <c r="BP13">
        <v>88</v>
      </c>
      <c r="BQ13">
        <v>81</v>
      </c>
      <c r="BR13">
        <v>61</v>
      </c>
      <c r="BS13">
        <v>84</v>
      </c>
      <c r="BT13">
        <v>78</v>
      </c>
      <c r="BU13">
        <v>82</v>
      </c>
      <c r="BV13">
        <v>67</v>
      </c>
      <c r="BW13">
        <v>51</v>
      </c>
      <c r="BX13">
        <v>78</v>
      </c>
      <c r="BY13">
        <v>79</v>
      </c>
      <c r="BZ13">
        <v>79</v>
      </c>
      <c r="CA13">
        <v>77</v>
      </c>
      <c r="CB13">
        <v>10</v>
      </c>
      <c r="CC13">
        <v>10</v>
      </c>
      <c r="CD13">
        <v>7</v>
      </c>
      <c r="CE13">
        <v>13</v>
      </c>
      <c r="CF13">
        <v>14</v>
      </c>
      <c r="CH13" t="s">
        <v>7</v>
      </c>
      <c r="CI13" t="s">
        <v>7</v>
      </c>
      <c r="CJ13" t="s">
        <v>7</v>
      </c>
      <c r="CK13" t="s">
        <v>44</v>
      </c>
      <c r="CL13" t="s">
        <v>44</v>
      </c>
      <c r="CM13" t="s">
        <v>44</v>
      </c>
      <c r="CN13" t="s">
        <v>44</v>
      </c>
      <c r="CO13" t="s">
        <v>44</v>
      </c>
      <c r="CP13" t="s">
        <v>30</v>
      </c>
      <c r="CQ13" t="s">
        <v>30</v>
      </c>
      <c r="CR13" t="s">
        <v>30</v>
      </c>
      <c r="CS13" t="s">
        <v>269</v>
      </c>
      <c r="CT13" t="s">
        <v>10</v>
      </c>
      <c r="CU13" t="s">
        <v>10</v>
      </c>
      <c r="CV13" t="s">
        <v>10</v>
      </c>
      <c r="CW13" t="s">
        <v>269</v>
      </c>
      <c r="CX13" t="s">
        <v>305</v>
      </c>
      <c r="CY13" t="s">
        <v>7</v>
      </c>
      <c r="CZ13" t="s">
        <v>7</v>
      </c>
      <c r="DA13" t="s">
        <v>7</v>
      </c>
      <c r="DB13" t="s">
        <v>305</v>
      </c>
      <c r="DC13" t="s">
        <v>305</v>
      </c>
      <c r="DD13" t="s">
        <v>305</v>
      </c>
      <c r="DE13" t="s">
        <v>305</v>
      </c>
      <c r="DF13" t="s">
        <v>305</v>
      </c>
      <c r="DG13" t="s">
        <v>305</v>
      </c>
      <c r="DH13" t="s">
        <v>27</v>
      </c>
      <c r="DI1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14.067093</v>
      </c>
      <c r="DJ13" t="s">
        <v>361</v>
      </c>
      <c r="DK13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2.6503913719140626</v>
      </c>
      <c r="DL13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14.187224299819437</v>
      </c>
    </row>
    <row r="14" spans="1:116" x14ac:dyDescent="0.2">
      <c r="A14">
        <v>220502</v>
      </c>
      <c r="B14" t="s">
        <v>362</v>
      </c>
      <c r="C14">
        <v>26</v>
      </c>
      <c r="D14">
        <v>4</v>
      </c>
      <c r="E14" s="1">
        <v>45919</v>
      </c>
      <c r="F14" t="s">
        <v>363</v>
      </c>
      <c r="G14">
        <v>0</v>
      </c>
      <c r="H14">
        <v>0</v>
      </c>
      <c r="I14" t="s">
        <v>364</v>
      </c>
      <c r="J14" t="s">
        <v>118</v>
      </c>
      <c r="K14">
        <v>84</v>
      </c>
      <c r="L14">
        <v>84</v>
      </c>
      <c r="M14">
        <v>40500000</v>
      </c>
      <c r="N14">
        <v>58000</v>
      </c>
      <c r="O14">
        <v>30</v>
      </c>
      <c r="P14" s="1">
        <v>34866</v>
      </c>
      <c r="Q14">
        <v>177</v>
      </c>
      <c r="R14">
        <v>63</v>
      </c>
      <c r="S14">
        <v>31</v>
      </c>
      <c r="T14" t="s">
        <v>250</v>
      </c>
      <c r="U14">
        <v>1</v>
      </c>
      <c r="V14">
        <v>46</v>
      </c>
      <c r="W14" t="s">
        <v>365</v>
      </c>
      <c r="X14" t="s">
        <v>17</v>
      </c>
      <c r="Y14">
        <v>10</v>
      </c>
      <c r="AA14" s="1">
        <v>44440</v>
      </c>
      <c r="AB14">
        <v>2029</v>
      </c>
      <c r="AC14">
        <v>27</v>
      </c>
      <c r="AD14" t="s">
        <v>267</v>
      </c>
      <c r="AE14">
        <v>1343</v>
      </c>
      <c r="AF14" t="s">
        <v>104</v>
      </c>
      <c r="AG14">
        <v>20</v>
      </c>
      <c r="AH14" t="s">
        <v>2</v>
      </c>
      <c r="AI14">
        <v>4</v>
      </c>
      <c r="AJ14">
        <v>4</v>
      </c>
      <c r="AK14">
        <v>3</v>
      </c>
      <c r="AM14" t="s">
        <v>3</v>
      </c>
      <c r="AN14" t="s">
        <v>254</v>
      </c>
      <c r="AO14">
        <v>68900000</v>
      </c>
      <c r="AP14" t="s">
        <v>366</v>
      </c>
      <c r="AQ14">
        <v>1</v>
      </c>
      <c r="AR14" t="s">
        <v>367</v>
      </c>
      <c r="AS14">
        <v>88</v>
      </c>
      <c r="AT14">
        <v>78</v>
      </c>
      <c r="AU14">
        <v>77</v>
      </c>
      <c r="AV14">
        <v>87</v>
      </c>
      <c r="AW14">
        <v>57</v>
      </c>
      <c r="AX14">
        <v>66</v>
      </c>
      <c r="AY14">
        <v>75</v>
      </c>
      <c r="AZ14">
        <v>79</v>
      </c>
      <c r="BA14">
        <v>66</v>
      </c>
      <c r="BB14">
        <v>80</v>
      </c>
      <c r="BC14">
        <v>74</v>
      </c>
      <c r="BD14">
        <v>88</v>
      </c>
      <c r="BE14">
        <v>70</v>
      </c>
      <c r="BF14">
        <v>71</v>
      </c>
      <c r="BG14">
        <v>77</v>
      </c>
      <c r="BH14">
        <v>87</v>
      </c>
      <c r="BI14">
        <v>90</v>
      </c>
      <c r="BJ14">
        <v>87</v>
      </c>
      <c r="BK14">
        <v>92</v>
      </c>
      <c r="BL14">
        <v>83</v>
      </c>
      <c r="BM14">
        <v>83</v>
      </c>
      <c r="BN14">
        <v>78</v>
      </c>
      <c r="BO14">
        <v>77</v>
      </c>
      <c r="BP14">
        <v>81</v>
      </c>
      <c r="BQ14">
        <v>59</v>
      </c>
      <c r="BR14">
        <v>76</v>
      </c>
      <c r="BS14">
        <v>61</v>
      </c>
      <c r="BT14">
        <v>58</v>
      </c>
      <c r="BU14">
        <v>80</v>
      </c>
      <c r="BV14">
        <v>79</v>
      </c>
      <c r="BW14">
        <v>72</v>
      </c>
      <c r="BX14">
        <v>83</v>
      </c>
      <c r="BY14">
        <v>55</v>
      </c>
      <c r="BZ14">
        <v>58</v>
      </c>
      <c r="CA14">
        <v>52</v>
      </c>
      <c r="CB14">
        <v>13</v>
      </c>
      <c r="CC14">
        <v>16</v>
      </c>
      <c r="CD14">
        <v>14</v>
      </c>
      <c r="CE14">
        <v>8</v>
      </c>
      <c r="CF14">
        <v>7</v>
      </c>
      <c r="CH14" t="s">
        <v>7</v>
      </c>
      <c r="CI14" t="s">
        <v>7</v>
      </c>
      <c r="CJ14" t="s">
        <v>7</v>
      </c>
      <c r="CK14" t="s">
        <v>8</v>
      </c>
      <c r="CL14" t="s">
        <v>8</v>
      </c>
      <c r="CM14" t="s">
        <v>8</v>
      </c>
      <c r="CN14" t="s">
        <v>8</v>
      </c>
      <c r="CO14" t="s">
        <v>8</v>
      </c>
      <c r="CP14" t="s">
        <v>368</v>
      </c>
      <c r="CQ14" t="s">
        <v>368</v>
      </c>
      <c r="CR14" t="s">
        <v>368</v>
      </c>
      <c r="CS14" t="s">
        <v>368</v>
      </c>
      <c r="CT14" t="s">
        <v>7</v>
      </c>
      <c r="CU14" t="s">
        <v>7</v>
      </c>
      <c r="CV14" t="s">
        <v>7</v>
      </c>
      <c r="CW14" t="s">
        <v>368</v>
      </c>
      <c r="CX14" t="s">
        <v>282</v>
      </c>
      <c r="CY14" t="s">
        <v>283</v>
      </c>
      <c r="CZ14" t="s">
        <v>283</v>
      </c>
      <c r="DA14" t="s">
        <v>283</v>
      </c>
      <c r="DB14" t="s">
        <v>282</v>
      </c>
      <c r="DC14" t="s">
        <v>290</v>
      </c>
      <c r="DD14" t="s">
        <v>318</v>
      </c>
      <c r="DE14" t="s">
        <v>318</v>
      </c>
      <c r="DF14" t="s">
        <v>318</v>
      </c>
      <c r="DG14" t="s">
        <v>290</v>
      </c>
      <c r="DH14" t="s">
        <v>27</v>
      </c>
      <c r="DI1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13.400000499999999</v>
      </c>
      <c r="DJ14" t="s">
        <v>369</v>
      </c>
      <c r="DK14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2.8547465806250001</v>
      </c>
      <c r="DL14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13.460295099796827</v>
      </c>
    </row>
    <row r="15" spans="1:116" x14ac:dyDescent="0.2">
      <c r="A15">
        <v>227796</v>
      </c>
      <c r="B15" t="s">
        <v>370</v>
      </c>
      <c r="C15">
        <v>26</v>
      </c>
      <c r="D15">
        <v>4</v>
      </c>
      <c r="E15" s="1">
        <v>45919</v>
      </c>
      <c r="F15" t="s">
        <v>371</v>
      </c>
      <c r="G15">
        <v>0</v>
      </c>
      <c r="H15">
        <v>0</v>
      </c>
      <c r="I15" t="s">
        <v>372</v>
      </c>
      <c r="J15" t="s">
        <v>373</v>
      </c>
      <c r="K15">
        <v>84</v>
      </c>
      <c r="L15">
        <v>84</v>
      </c>
      <c r="M15">
        <v>46000000</v>
      </c>
      <c r="N15">
        <v>79000</v>
      </c>
      <c r="O15">
        <v>26</v>
      </c>
      <c r="P15" s="1">
        <v>36056</v>
      </c>
      <c r="Q15">
        <v>178</v>
      </c>
      <c r="R15">
        <v>73</v>
      </c>
      <c r="S15">
        <v>31</v>
      </c>
      <c r="T15" t="s">
        <v>250</v>
      </c>
      <c r="U15">
        <v>1</v>
      </c>
      <c r="V15">
        <v>47</v>
      </c>
      <c r="W15" t="s">
        <v>295</v>
      </c>
      <c r="X15" t="s">
        <v>314</v>
      </c>
      <c r="Y15">
        <v>11</v>
      </c>
      <c r="AA15" s="1">
        <v>45120</v>
      </c>
      <c r="AB15">
        <v>2027</v>
      </c>
      <c r="AC15">
        <v>95</v>
      </c>
      <c r="AD15" t="s">
        <v>374</v>
      </c>
      <c r="AE15">
        <v>1387</v>
      </c>
      <c r="AF15" t="s">
        <v>0</v>
      </c>
      <c r="AG15">
        <v>10</v>
      </c>
      <c r="AH15" t="s">
        <v>2</v>
      </c>
      <c r="AI15">
        <v>5</v>
      </c>
      <c r="AJ15">
        <v>4</v>
      </c>
      <c r="AK15">
        <v>3</v>
      </c>
      <c r="AM15" t="s">
        <v>19</v>
      </c>
      <c r="AN15" t="s">
        <v>254</v>
      </c>
      <c r="AO15">
        <v>78200000</v>
      </c>
      <c r="AP15" t="s">
        <v>366</v>
      </c>
      <c r="AQ15">
        <v>0</v>
      </c>
      <c r="AR15" t="s">
        <v>375</v>
      </c>
      <c r="AS15">
        <v>88</v>
      </c>
      <c r="AT15">
        <v>82</v>
      </c>
      <c r="AU15">
        <v>80</v>
      </c>
      <c r="AV15">
        <v>86</v>
      </c>
      <c r="AW15">
        <v>46</v>
      </c>
      <c r="AX15">
        <v>65</v>
      </c>
      <c r="AY15">
        <v>80</v>
      </c>
      <c r="AZ15">
        <v>85</v>
      </c>
      <c r="BA15">
        <v>50</v>
      </c>
      <c r="BB15">
        <v>81</v>
      </c>
      <c r="BC15">
        <v>76</v>
      </c>
      <c r="BD15">
        <v>86</v>
      </c>
      <c r="BE15">
        <v>84</v>
      </c>
      <c r="BF15">
        <v>75</v>
      </c>
      <c r="BG15">
        <v>75</v>
      </c>
      <c r="BH15">
        <v>86</v>
      </c>
      <c r="BI15">
        <v>90</v>
      </c>
      <c r="BJ15">
        <v>86</v>
      </c>
      <c r="BK15">
        <v>88</v>
      </c>
      <c r="BL15">
        <v>85</v>
      </c>
      <c r="BM15">
        <v>81</v>
      </c>
      <c r="BN15">
        <v>81</v>
      </c>
      <c r="BO15">
        <v>70</v>
      </c>
      <c r="BP15">
        <v>76</v>
      </c>
      <c r="BQ15">
        <v>57</v>
      </c>
      <c r="BR15">
        <v>80</v>
      </c>
      <c r="BS15">
        <v>70</v>
      </c>
      <c r="BT15">
        <v>40</v>
      </c>
      <c r="BU15">
        <v>84</v>
      </c>
      <c r="BV15">
        <v>80</v>
      </c>
      <c r="BW15">
        <v>80</v>
      </c>
      <c r="BX15">
        <v>83</v>
      </c>
      <c r="BY15">
        <v>50</v>
      </c>
      <c r="BZ15">
        <v>42</v>
      </c>
      <c r="CA15">
        <v>50</v>
      </c>
      <c r="CB15">
        <v>8</v>
      </c>
      <c r="CC15">
        <v>12</v>
      </c>
      <c r="CD15">
        <v>13</v>
      </c>
      <c r="CE15">
        <v>16</v>
      </c>
      <c r="CF15">
        <v>14</v>
      </c>
      <c r="CH15" t="s">
        <v>7</v>
      </c>
      <c r="CI15" t="s">
        <v>7</v>
      </c>
      <c r="CJ15" t="s">
        <v>7</v>
      </c>
      <c r="CK15" t="s">
        <v>270</v>
      </c>
      <c r="CL15" t="s">
        <v>270</v>
      </c>
      <c r="CM15" t="s">
        <v>270</v>
      </c>
      <c r="CN15" t="s">
        <v>270</v>
      </c>
      <c r="CO15" t="s">
        <v>270</v>
      </c>
      <c r="CP15" t="s">
        <v>270</v>
      </c>
      <c r="CQ15" t="s">
        <v>270</v>
      </c>
      <c r="CR15" t="s">
        <v>270</v>
      </c>
      <c r="CS15" t="s">
        <v>368</v>
      </c>
      <c r="CT15" t="s">
        <v>30</v>
      </c>
      <c r="CU15" t="s">
        <v>30</v>
      </c>
      <c r="CV15" t="s">
        <v>30</v>
      </c>
      <c r="CW15" t="s">
        <v>368</v>
      </c>
      <c r="CX15" t="s">
        <v>37</v>
      </c>
      <c r="CY15" t="s">
        <v>38</v>
      </c>
      <c r="CZ15" t="s">
        <v>38</v>
      </c>
      <c r="DA15" t="s">
        <v>38</v>
      </c>
      <c r="DB15" t="s">
        <v>37</v>
      </c>
      <c r="DC15" t="s">
        <v>38</v>
      </c>
      <c r="DD15" t="s">
        <v>376</v>
      </c>
      <c r="DE15" t="s">
        <v>376</v>
      </c>
      <c r="DF15" t="s">
        <v>376</v>
      </c>
      <c r="DG15" t="s">
        <v>38</v>
      </c>
      <c r="DH15" t="s">
        <v>15</v>
      </c>
      <c r="DI1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13.1667363</v>
      </c>
      <c r="DJ15" t="s">
        <v>377</v>
      </c>
      <c r="DK15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3.0065276406250003</v>
      </c>
      <c r="DL15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13.285416226575046</v>
      </c>
    </row>
    <row r="16" spans="1:116" x14ac:dyDescent="0.2">
      <c r="A16">
        <v>192505</v>
      </c>
      <c r="B16" t="s">
        <v>378</v>
      </c>
      <c r="C16">
        <v>26</v>
      </c>
      <c r="D16">
        <v>4</v>
      </c>
      <c r="E16" s="1">
        <v>45919</v>
      </c>
      <c r="F16" t="s">
        <v>379</v>
      </c>
      <c r="G16">
        <v>0</v>
      </c>
      <c r="H16">
        <v>0</v>
      </c>
      <c r="I16" t="s">
        <v>380</v>
      </c>
      <c r="J16" t="s">
        <v>34</v>
      </c>
      <c r="K16">
        <v>84</v>
      </c>
      <c r="L16">
        <v>84</v>
      </c>
      <c r="M16">
        <v>34000000</v>
      </c>
      <c r="N16">
        <v>150000</v>
      </c>
      <c r="O16">
        <v>32</v>
      </c>
      <c r="P16" s="1">
        <v>34102</v>
      </c>
      <c r="Q16">
        <v>191</v>
      </c>
      <c r="R16">
        <v>94</v>
      </c>
      <c r="S16">
        <v>31</v>
      </c>
      <c r="T16" t="s">
        <v>250</v>
      </c>
      <c r="U16">
        <v>1</v>
      </c>
      <c r="V16">
        <v>48</v>
      </c>
      <c r="W16" t="s">
        <v>278</v>
      </c>
      <c r="X16" t="s">
        <v>381</v>
      </c>
      <c r="Y16">
        <v>9</v>
      </c>
      <c r="AA16" s="1">
        <v>45533</v>
      </c>
      <c r="AB16">
        <v>2027</v>
      </c>
      <c r="AC16">
        <v>7</v>
      </c>
      <c r="AD16" t="s">
        <v>279</v>
      </c>
      <c r="AH16" t="s">
        <v>18</v>
      </c>
      <c r="AI16">
        <v>4</v>
      </c>
      <c r="AJ16">
        <v>3</v>
      </c>
      <c r="AK16">
        <v>3</v>
      </c>
      <c r="AM16" t="s">
        <v>253</v>
      </c>
      <c r="AN16" t="s">
        <v>254</v>
      </c>
      <c r="AO16">
        <v>57800000</v>
      </c>
      <c r="AP16" t="s">
        <v>73</v>
      </c>
      <c r="AQ16">
        <v>0</v>
      </c>
      <c r="AR16" t="s">
        <v>382</v>
      </c>
      <c r="AS16">
        <v>79</v>
      </c>
      <c r="AT16">
        <v>82</v>
      </c>
      <c r="AU16">
        <v>75</v>
      </c>
      <c r="AV16">
        <v>75</v>
      </c>
      <c r="AW16">
        <v>41</v>
      </c>
      <c r="AX16">
        <v>84</v>
      </c>
      <c r="AY16">
        <v>68</v>
      </c>
      <c r="AZ16">
        <v>84</v>
      </c>
      <c r="BA16">
        <v>83</v>
      </c>
      <c r="BB16">
        <v>80</v>
      </c>
      <c r="BC16">
        <v>70</v>
      </c>
      <c r="BD16">
        <v>76</v>
      </c>
      <c r="BE16">
        <v>74</v>
      </c>
      <c r="BF16">
        <v>60</v>
      </c>
      <c r="BG16">
        <v>70</v>
      </c>
      <c r="BH16">
        <v>80</v>
      </c>
      <c r="BI16">
        <v>71</v>
      </c>
      <c r="BJ16">
        <v>86</v>
      </c>
      <c r="BK16">
        <v>55</v>
      </c>
      <c r="BL16">
        <v>84</v>
      </c>
      <c r="BM16">
        <v>54</v>
      </c>
      <c r="BN16">
        <v>86</v>
      </c>
      <c r="BO16">
        <v>92</v>
      </c>
      <c r="BP16">
        <v>74</v>
      </c>
      <c r="BQ16">
        <v>94</v>
      </c>
      <c r="BR16">
        <v>73</v>
      </c>
      <c r="BS16">
        <v>68</v>
      </c>
      <c r="BT16">
        <v>36</v>
      </c>
      <c r="BU16">
        <v>88</v>
      </c>
      <c r="BV16">
        <v>82</v>
      </c>
      <c r="BW16">
        <v>88</v>
      </c>
      <c r="BX16">
        <v>82</v>
      </c>
      <c r="BY16">
        <v>35</v>
      </c>
      <c r="BZ16">
        <v>40</v>
      </c>
      <c r="CA16">
        <v>30</v>
      </c>
      <c r="CB16">
        <v>8</v>
      </c>
      <c r="CC16">
        <v>15</v>
      </c>
      <c r="CD16">
        <v>14</v>
      </c>
      <c r="CE16">
        <v>7</v>
      </c>
      <c r="CF16">
        <v>10</v>
      </c>
      <c r="CH16" t="s">
        <v>368</v>
      </c>
      <c r="CI16" t="s">
        <v>368</v>
      </c>
      <c r="CJ16" t="s">
        <v>368</v>
      </c>
      <c r="CK16" t="s">
        <v>44</v>
      </c>
      <c r="CL16" t="s">
        <v>36</v>
      </c>
      <c r="CM16" t="s">
        <v>36</v>
      </c>
      <c r="CN16" t="s">
        <v>36</v>
      </c>
      <c r="CO16" t="s">
        <v>44</v>
      </c>
      <c r="CP16" t="s">
        <v>7</v>
      </c>
      <c r="CQ16" t="s">
        <v>7</v>
      </c>
      <c r="CR16" t="s">
        <v>7</v>
      </c>
      <c r="CS16" t="s">
        <v>10</v>
      </c>
      <c r="CT16" t="s">
        <v>25</v>
      </c>
      <c r="CU16" t="s">
        <v>25</v>
      </c>
      <c r="CV16" t="s">
        <v>25</v>
      </c>
      <c r="CW16" t="s">
        <v>10</v>
      </c>
      <c r="CX16" t="s">
        <v>13</v>
      </c>
      <c r="CY16" t="s">
        <v>13</v>
      </c>
      <c r="CZ16" t="s">
        <v>13</v>
      </c>
      <c r="DA16" t="s">
        <v>13</v>
      </c>
      <c r="DB16" t="s">
        <v>13</v>
      </c>
      <c r="DC16" t="s">
        <v>383</v>
      </c>
      <c r="DD16" t="s">
        <v>384</v>
      </c>
      <c r="DE16" t="s">
        <v>384</v>
      </c>
      <c r="DF16" t="s">
        <v>384</v>
      </c>
      <c r="DG16" t="s">
        <v>383</v>
      </c>
      <c r="DH16" t="s">
        <v>293</v>
      </c>
      <c r="DI1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13.9348434</v>
      </c>
      <c r="DJ16" t="s">
        <v>385</v>
      </c>
      <c r="DK16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2.8340372224999997</v>
      </c>
      <c r="DL16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14.020586439505607</v>
      </c>
    </row>
    <row r="17" spans="1:116" x14ac:dyDescent="0.2">
      <c r="A17">
        <v>241721</v>
      </c>
      <c r="B17" t="s">
        <v>386</v>
      </c>
      <c r="C17">
        <v>26</v>
      </c>
      <c r="D17">
        <v>4</v>
      </c>
      <c r="E17" s="1">
        <v>45919</v>
      </c>
      <c r="F17" t="s">
        <v>387</v>
      </c>
      <c r="G17">
        <v>0</v>
      </c>
      <c r="H17">
        <v>0</v>
      </c>
      <c r="I17" t="s">
        <v>388</v>
      </c>
      <c r="J17" t="s">
        <v>103</v>
      </c>
      <c r="K17">
        <v>84</v>
      </c>
      <c r="L17">
        <v>85</v>
      </c>
      <c r="M17">
        <v>49500000</v>
      </c>
      <c r="N17">
        <v>79000</v>
      </c>
      <c r="O17">
        <v>26</v>
      </c>
      <c r="P17" s="1">
        <v>36321</v>
      </c>
      <c r="Q17">
        <v>188</v>
      </c>
      <c r="R17">
        <v>81</v>
      </c>
      <c r="S17">
        <v>31</v>
      </c>
      <c r="T17" t="s">
        <v>250</v>
      </c>
      <c r="U17">
        <v>1</v>
      </c>
      <c r="V17">
        <v>47</v>
      </c>
      <c r="W17" t="s">
        <v>295</v>
      </c>
      <c r="X17" t="s">
        <v>110</v>
      </c>
      <c r="Y17">
        <v>10</v>
      </c>
      <c r="AA17" s="1">
        <v>43678</v>
      </c>
      <c r="AB17">
        <v>2028</v>
      </c>
      <c r="AC17">
        <v>38</v>
      </c>
      <c r="AD17" t="s">
        <v>389</v>
      </c>
      <c r="AE17">
        <v>1354</v>
      </c>
      <c r="AF17" t="s">
        <v>381</v>
      </c>
      <c r="AG17">
        <v>17</v>
      </c>
      <c r="AH17" t="s">
        <v>2</v>
      </c>
      <c r="AI17">
        <v>4</v>
      </c>
      <c r="AJ17">
        <v>5</v>
      </c>
      <c r="AK17">
        <v>3</v>
      </c>
      <c r="AM17" t="s">
        <v>88</v>
      </c>
      <c r="AN17" t="s">
        <v>254</v>
      </c>
      <c r="AO17">
        <v>87900000</v>
      </c>
      <c r="AP17" t="s">
        <v>390</v>
      </c>
      <c r="AQ17">
        <v>0</v>
      </c>
      <c r="AR17" t="s">
        <v>391</v>
      </c>
      <c r="AS17">
        <v>93</v>
      </c>
      <c r="AT17">
        <v>78</v>
      </c>
      <c r="AU17">
        <v>80</v>
      </c>
      <c r="AV17">
        <v>86</v>
      </c>
      <c r="AW17">
        <v>28</v>
      </c>
      <c r="AX17">
        <v>75</v>
      </c>
      <c r="AY17">
        <v>84</v>
      </c>
      <c r="AZ17">
        <v>82</v>
      </c>
      <c r="BA17">
        <v>72</v>
      </c>
      <c r="BB17">
        <v>83</v>
      </c>
      <c r="BC17">
        <v>74</v>
      </c>
      <c r="BD17">
        <v>87</v>
      </c>
      <c r="BE17">
        <v>79</v>
      </c>
      <c r="BF17">
        <v>60</v>
      </c>
      <c r="BG17">
        <v>70</v>
      </c>
      <c r="BH17">
        <v>86</v>
      </c>
      <c r="BI17">
        <v>93</v>
      </c>
      <c r="BJ17">
        <v>93</v>
      </c>
      <c r="BK17">
        <v>84</v>
      </c>
      <c r="BL17">
        <v>83</v>
      </c>
      <c r="BM17">
        <v>79</v>
      </c>
      <c r="BN17">
        <v>80</v>
      </c>
      <c r="BO17">
        <v>89</v>
      </c>
      <c r="BP17">
        <v>75</v>
      </c>
      <c r="BQ17">
        <v>79</v>
      </c>
      <c r="BR17">
        <v>74</v>
      </c>
      <c r="BS17">
        <v>60</v>
      </c>
      <c r="BT17">
        <v>24</v>
      </c>
      <c r="BU17">
        <v>76</v>
      </c>
      <c r="BV17">
        <v>81</v>
      </c>
      <c r="BW17">
        <v>63</v>
      </c>
      <c r="BX17">
        <v>83</v>
      </c>
      <c r="BY17">
        <v>22</v>
      </c>
      <c r="BZ17">
        <v>24</v>
      </c>
      <c r="CA17">
        <v>21</v>
      </c>
      <c r="CB17">
        <v>10</v>
      </c>
      <c r="CC17">
        <v>12</v>
      </c>
      <c r="CD17">
        <v>15</v>
      </c>
      <c r="CE17">
        <v>11</v>
      </c>
      <c r="CF17">
        <v>9</v>
      </c>
      <c r="CH17" t="s">
        <v>305</v>
      </c>
      <c r="CI17" t="s">
        <v>305</v>
      </c>
      <c r="CJ17" t="s">
        <v>305</v>
      </c>
      <c r="CK17" t="s">
        <v>270</v>
      </c>
      <c r="CL17" t="s">
        <v>8</v>
      </c>
      <c r="CM17" t="s">
        <v>8</v>
      </c>
      <c r="CN17" t="s">
        <v>8</v>
      </c>
      <c r="CO17" t="s">
        <v>270</v>
      </c>
      <c r="CP17" t="s">
        <v>327</v>
      </c>
      <c r="CQ17" t="s">
        <v>327</v>
      </c>
      <c r="CR17" t="s">
        <v>327</v>
      </c>
      <c r="CS17" t="s">
        <v>335</v>
      </c>
      <c r="CT17" t="s">
        <v>25</v>
      </c>
      <c r="CU17" t="s">
        <v>25</v>
      </c>
      <c r="CV17" t="s">
        <v>25</v>
      </c>
      <c r="CW17" t="s">
        <v>335</v>
      </c>
      <c r="CX17" t="s">
        <v>13</v>
      </c>
      <c r="CY17" t="s">
        <v>376</v>
      </c>
      <c r="CZ17" t="s">
        <v>376</v>
      </c>
      <c r="DA17" t="s">
        <v>376</v>
      </c>
      <c r="DB17" t="s">
        <v>13</v>
      </c>
      <c r="DC17" t="s">
        <v>376</v>
      </c>
      <c r="DD17" t="s">
        <v>45</v>
      </c>
      <c r="DE17" t="s">
        <v>45</v>
      </c>
      <c r="DF17" t="s">
        <v>45</v>
      </c>
      <c r="DG17" t="s">
        <v>376</v>
      </c>
      <c r="DH17" t="s">
        <v>27</v>
      </c>
      <c r="DI1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14.6571842</v>
      </c>
      <c r="DJ17" t="s">
        <v>392</v>
      </c>
      <c r="DK17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2.9535740625</v>
      </c>
      <c r="DL17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14.748465128974686</v>
      </c>
    </row>
    <row r="18" spans="1:116" x14ac:dyDescent="0.2">
      <c r="A18">
        <v>230899</v>
      </c>
      <c r="B18" t="s">
        <v>393</v>
      </c>
      <c r="C18">
        <v>26</v>
      </c>
      <c r="D18">
        <v>4</v>
      </c>
      <c r="E18" s="1">
        <v>45919</v>
      </c>
      <c r="F18" t="s">
        <v>394</v>
      </c>
      <c r="G18">
        <v>0</v>
      </c>
      <c r="H18">
        <v>0</v>
      </c>
      <c r="I18" t="s">
        <v>395</v>
      </c>
      <c r="J18" t="s">
        <v>132</v>
      </c>
      <c r="K18">
        <v>84</v>
      </c>
      <c r="L18">
        <v>84</v>
      </c>
      <c r="M18">
        <v>45500000</v>
      </c>
      <c r="N18">
        <v>105000</v>
      </c>
      <c r="O18">
        <v>27</v>
      </c>
      <c r="P18" s="1">
        <v>35723</v>
      </c>
      <c r="Q18">
        <v>174</v>
      </c>
      <c r="R18">
        <v>71</v>
      </c>
      <c r="S18">
        <v>31</v>
      </c>
      <c r="T18" t="s">
        <v>250</v>
      </c>
      <c r="U18">
        <v>1</v>
      </c>
      <c r="V18">
        <v>39</v>
      </c>
      <c r="W18" t="s">
        <v>396</v>
      </c>
      <c r="X18" t="s">
        <v>381</v>
      </c>
      <c r="Y18">
        <v>11</v>
      </c>
      <c r="AA18" s="1">
        <v>44777</v>
      </c>
      <c r="AB18">
        <v>2026</v>
      </c>
      <c r="AC18">
        <v>133</v>
      </c>
      <c r="AD18" t="s">
        <v>397</v>
      </c>
      <c r="AH18" t="s">
        <v>2</v>
      </c>
      <c r="AI18">
        <v>4</v>
      </c>
      <c r="AJ18">
        <v>4</v>
      </c>
      <c r="AK18">
        <v>3</v>
      </c>
      <c r="AM18" t="s">
        <v>19</v>
      </c>
      <c r="AN18" t="s">
        <v>254</v>
      </c>
      <c r="AO18">
        <v>77400000</v>
      </c>
      <c r="AP18" t="s">
        <v>398</v>
      </c>
      <c r="AQ18">
        <v>0</v>
      </c>
      <c r="AR18" t="s">
        <v>399</v>
      </c>
      <c r="AS18">
        <v>86</v>
      </c>
      <c r="AT18">
        <v>84</v>
      </c>
      <c r="AU18">
        <v>73</v>
      </c>
      <c r="AV18">
        <v>88</v>
      </c>
      <c r="AW18">
        <v>32</v>
      </c>
      <c r="AX18">
        <v>67</v>
      </c>
      <c r="AY18">
        <v>66</v>
      </c>
      <c r="AZ18">
        <v>87</v>
      </c>
      <c r="BA18">
        <v>71</v>
      </c>
      <c r="BB18">
        <v>80</v>
      </c>
      <c r="BC18">
        <v>80</v>
      </c>
      <c r="BD18">
        <v>89</v>
      </c>
      <c r="BE18">
        <v>72</v>
      </c>
      <c r="BF18">
        <v>56</v>
      </c>
      <c r="BG18">
        <v>62</v>
      </c>
      <c r="BH18">
        <v>88</v>
      </c>
      <c r="BI18">
        <v>90</v>
      </c>
      <c r="BJ18">
        <v>83</v>
      </c>
      <c r="BK18">
        <v>93</v>
      </c>
      <c r="BL18">
        <v>86</v>
      </c>
      <c r="BM18">
        <v>81</v>
      </c>
      <c r="BN18">
        <v>86</v>
      </c>
      <c r="BO18">
        <v>82</v>
      </c>
      <c r="BP18">
        <v>73</v>
      </c>
      <c r="BQ18">
        <v>63</v>
      </c>
      <c r="BR18">
        <v>80</v>
      </c>
      <c r="BS18">
        <v>68</v>
      </c>
      <c r="BT18">
        <v>35</v>
      </c>
      <c r="BU18">
        <v>87</v>
      </c>
      <c r="BV18">
        <v>80</v>
      </c>
      <c r="BW18">
        <v>62</v>
      </c>
      <c r="BX18">
        <v>80</v>
      </c>
      <c r="BY18">
        <v>30</v>
      </c>
      <c r="BZ18">
        <v>23</v>
      </c>
      <c r="CA18">
        <v>24</v>
      </c>
      <c r="CB18">
        <v>12</v>
      </c>
      <c r="CC18">
        <v>12</v>
      </c>
      <c r="CD18">
        <v>9</v>
      </c>
      <c r="CE18">
        <v>15</v>
      </c>
      <c r="CF18">
        <v>6</v>
      </c>
      <c r="CH18" t="s">
        <v>368</v>
      </c>
      <c r="CI18" t="s">
        <v>368</v>
      </c>
      <c r="CJ18" t="s">
        <v>368</v>
      </c>
      <c r="CK18" t="s">
        <v>270</v>
      </c>
      <c r="CL18" t="s">
        <v>400</v>
      </c>
      <c r="CM18" t="s">
        <v>400</v>
      </c>
      <c r="CN18" t="s">
        <v>400</v>
      </c>
      <c r="CO18" t="s">
        <v>270</v>
      </c>
      <c r="CP18" t="s">
        <v>270</v>
      </c>
      <c r="CQ18" t="s">
        <v>270</v>
      </c>
      <c r="CR18" t="s">
        <v>270</v>
      </c>
      <c r="CS18" t="s">
        <v>401</v>
      </c>
      <c r="CT18" t="s">
        <v>25</v>
      </c>
      <c r="CU18" t="s">
        <v>25</v>
      </c>
      <c r="CV18" t="s">
        <v>25</v>
      </c>
      <c r="CW18" t="s">
        <v>401</v>
      </c>
      <c r="CX18" t="s">
        <v>39</v>
      </c>
      <c r="CY18" t="s">
        <v>402</v>
      </c>
      <c r="CZ18" t="s">
        <v>402</v>
      </c>
      <c r="DA18" t="s">
        <v>402</v>
      </c>
      <c r="DB18" t="s">
        <v>39</v>
      </c>
      <c r="DC18" t="s">
        <v>376</v>
      </c>
      <c r="DD18" t="s">
        <v>403</v>
      </c>
      <c r="DE18" t="s">
        <v>403</v>
      </c>
      <c r="DF18" t="s">
        <v>403</v>
      </c>
      <c r="DG18" t="s">
        <v>376</v>
      </c>
      <c r="DH18" t="s">
        <v>27</v>
      </c>
      <c r="DI1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13.346264699999999</v>
      </c>
      <c r="DJ18" t="s">
        <v>404</v>
      </c>
      <c r="DK18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2.7246150625000003</v>
      </c>
      <c r="DL18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13.490359155641686</v>
      </c>
    </row>
    <row r="19" spans="1:116" x14ac:dyDescent="0.2">
      <c r="A19">
        <v>199845</v>
      </c>
      <c r="B19" t="s">
        <v>405</v>
      </c>
      <c r="C19">
        <v>26</v>
      </c>
      <c r="D19">
        <v>4</v>
      </c>
      <c r="E19" s="1">
        <v>45919</v>
      </c>
      <c r="F19" t="s">
        <v>406</v>
      </c>
      <c r="G19">
        <v>1</v>
      </c>
      <c r="H19">
        <v>0</v>
      </c>
      <c r="I19" t="s">
        <v>407</v>
      </c>
      <c r="J19" t="s">
        <v>71</v>
      </c>
      <c r="K19">
        <v>84</v>
      </c>
      <c r="L19">
        <v>84</v>
      </c>
      <c r="M19">
        <v>7500000</v>
      </c>
      <c r="N19">
        <v>38000</v>
      </c>
      <c r="O19">
        <v>37</v>
      </c>
      <c r="P19" s="1">
        <v>32183</v>
      </c>
      <c r="Q19">
        <v>192</v>
      </c>
      <c r="R19">
        <v>88</v>
      </c>
      <c r="S19">
        <v>31</v>
      </c>
      <c r="T19" t="s">
        <v>250</v>
      </c>
      <c r="U19">
        <v>1</v>
      </c>
      <c r="V19">
        <v>44</v>
      </c>
      <c r="W19" t="s">
        <v>251</v>
      </c>
      <c r="X19" t="s">
        <v>71</v>
      </c>
      <c r="Y19">
        <v>15</v>
      </c>
      <c r="AA19" s="1">
        <v>45108</v>
      </c>
      <c r="AB19">
        <v>2026</v>
      </c>
      <c r="AC19">
        <v>27</v>
      </c>
      <c r="AD19" t="s">
        <v>267</v>
      </c>
      <c r="AH19" t="s">
        <v>18</v>
      </c>
      <c r="AI19">
        <v>3</v>
      </c>
      <c r="AJ19">
        <v>3</v>
      </c>
      <c r="AK19">
        <v>3</v>
      </c>
      <c r="AM19" t="s">
        <v>88</v>
      </c>
      <c r="AN19" t="s">
        <v>254</v>
      </c>
      <c r="AO19">
        <v>12400000</v>
      </c>
      <c r="AP19" t="s">
        <v>288</v>
      </c>
      <c r="AQ19">
        <v>0</v>
      </c>
      <c r="AR19" t="s">
        <v>408</v>
      </c>
      <c r="AS19">
        <v>57</v>
      </c>
      <c r="AT19">
        <v>50</v>
      </c>
      <c r="AU19">
        <v>65</v>
      </c>
      <c r="AV19">
        <v>65</v>
      </c>
      <c r="AW19">
        <v>87</v>
      </c>
      <c r="AX19">
        <v>81</v>
      </c>
      <c r="AY19">
        <v>34</v>
      </c>
      <c r="AZ19">
        <v>37</v>
      </c>
      <c r="BA19">
        <v>84</v>
      </c>
      <c r="BB19">
        <v>79</v>
      </c>
      <c r="BC19">
        <v>39</v>
      </c>
      <c r="BD19">
        <v>65</v>
      </c>
      <c r="BE19">
        <v>58</v>
      </c>
      <c r="BF19">
        <v>56</v>
      </c>
      <c r="BG19">
        <v>82</v>
      </c>
      <c r="BH19">
        <v>72</v>
      </c>
      <c r="BI19">
        <v>61</v>
      </c>
      <c r="BJ19">
        <v>54</v>
      </c>
      <c r="BK19">
        <v>39</v>
      </c>
      <c r="BL19">
        <v>88</v>
      </c>
      <c r="BM19">
        <v>34</v>
      </c>
      <c r="BN19">
        <v>75</v>
      </c>
      <c r="BO19">
        <v>85</v>
      </c>
      <c r="BP19">
        <v>73</v>
      </c>
      <c r="BQ19">
        <v>84</v>
      </c>
      <c r="BR19">
        <v>60</v>
      </c>
      <c r="BS19">
        <v>82</v>
      </c>
      <c r="BT19">
        <v>88</v>
      </c>
      <c r="BU19">
        <v>20</v>
      </c>
      <c r="BV19">
        <v>65</v>
      </c>
      <c r="BW19">
        <v>61</v>
      </c>
      <c r="BX19">
        <v>86</v>
      </c>
      <c r="BY19">
        <v>89</v>
      </c>
      <c r="BZ19">
        <v>87</v>
      </c>
      <c r="CA19">
        <v>82</v>
      </c>
      <c r="CB19">
        <v>11</v>
      </c>
      <c r="CC19">
        <v>9</v>
      </c>
      <c r="CD19">
        <v>9</v>
      </c>
      <c r="CE19">
        <v>13</v>
      </c>
      <c r="CF19">
        <v>11</v>
      </c>
      <c r="CH19" t="s">
        <v>39</v>
      </c>
      <c r="CI19" t="s">
        <v>39</v>
      </c>
      <c r="CJ19" t="s">
        <v>39</v>
      </c>
      <c r="CK19" t="s">
        <v>134</v>
      </c>
      <c r="CL19" t="s">
        <v>117</v>
      </c>
      <c r="CM19" t="s">
        <v>117</v>
      </c>
      <c r="CN19" t="s">
        <v>117</v>
      </c>
      <c r="CO19" t="s">
        <v>134</v>
      </c>
      <c r="CP19" t="s">
        <v>318</v>
      </c>
      <c r="CQ19" t="s">
        <v>318</v>
      </c>
      <c r="CR19" t="s">
        <v>318</v>
      </c>
      <c r="CS19" t="s">
        <v>13</v>
      </c>
      <c r="CT19" t="s">
        <v>282</v>
      </c>
      <c r="CU19" t="s">
        <v>282</v>
      </c>
      <c r="CV19" t="s">
        <v>282</v>
      </c>
      <c r="CW19" t="s">
        <v>13</v>
      </c>
      <c r="CX19" t="s">
        <v>29</v>
      </c>
      <c r="CY19" t="s">
        <v>401</v>
      </c>
      <c r="CZ19" t="s">
        <v>401</v>
      </c>
      <c r="DA19" t="s">
        <v>401</v>
      </c>
      <c r="DB19" t="s">
        <v>29</v>
      </c>
      <c r="DC19" t="s">
        <v>25</v>
      </c>
      <c r="DD19" t="s">
        <v>270</v>
      </c>
      <c r="DE19" t="s">
        <v>270</v>
      </c>
      <c r="DF19" t="s">
        <v>270</v>
      </c>
      <c r="DG19" t="s">
        <v>25</v>
      </c>
      <c r="DH19" t="s">
        <v>27</v>
      </c>
      <c r="DI1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12.706502799999999</v>
      </c>
      <c r="DJ19" t="s">
        <v>409</v>
      </c>
      <c r="DK19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2.35547172265625</v>
      </c>
      <c r="DL19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12.883262236813698</v>
      </c>
    </row>
    <row r="20" spans="1:116" x14ac:dyDescent="0.2">
      <c r="A20">
        <v>198176</v>
      </c>
      <c r="B20" t="s">
        <v>410</v>
      </c>
      <c r="C20">
        <v>26</v>
      </c>
      <c r="D20">
        <v>4</v>
      </c>
      <c r="E20" s="1">
        <v>45919</v>
      </c>
      <c r="F20" t="s">
        <v>411</v>
      </c>
      <c r="G20">
        <v>1</v>
      </c>
      <c r="H20">
        <v>0</v>
      </c>
      <c r="I20" t="s">
        <v>412</v>
      </c>
      <c r="J20" t="s">
        <v>71</v>
      </c>
      <c r="K20">
        <v>84</v>
      </c>
      <c r="L20">
        <v>84</v>
      </c>
      <c r="M20">
        <v>20000000</v>
      </c>
      <c r="N20">
        <v>51000</v>
      </c>
      <c r="O20">
        <v>33</v>
      </c>
      <c r="P20" s="1">
        <v>33639</v>
      </c>
      <c r="Q20">
        <v>189</v>
      </c>
      <c r="R20">
        <v>78</v>
      </c>
      <c r="S20">
        <v>31</v>
      </c>
      <c r="T20" t="s">
        <v>250</v>
      </c>
      <c r="U20">
        <v>1</v>
      </c>
      <c r="V20">
        <v>44</v>
      </c>
      <c r="W20" t="s">
        <v>251</v>
      </c>
      <c r="X20" t="s">
        <v>110</v>
      </c>
      <c r="Y20">
        <v>6</v>
      </c>
      <c r="AA20" s="1">
        <v>43282</v>
      </c>
      <c r="AB20">
        <v>2026</v>
      </c>
      <c r="AC20">
        <v>34</v>
      </c>
      <c r="AD20" t="s">
        <v>359</v>
      </c>
      <c r="AE20">
        <v>105035</v>
      </c>
      <c r="AF20" t="s">
        <v>110</v>
      </c>
      <c r="AG20">
        <v>6</v>
      </c>
      <c r="AH20" t="s">
        <v>2</v>
      </c>
      <c r="AI20">
        <v>3</v>
      </c>
      <c r="AJ20">
        <v>2</v>
      </c>
      <c r="AK20">
        <v>3</v>
      </c>
      <c r="AM20" t="s">
        <v>253</v>
      </c>
      <c r="AN20" t="s">
        <v>254</v>
      </c>
      <c r="AO20">
        <v>33000000</v>
      </c>
      <c r="AQ20">
        <v>0</v>
      </c>
      <c r="AR20" t="s">
        <v>413</v>
      </c>
      <c r="AS20">
        <v>62</v>
      </c>
      <c r="AT20">
        <v>41</v>
      </c>
      <c r="AU20">
        <v>68</v>
      </c>
      <c r="AV20">
        <v>69</v>
      </c>
      <c r="AW20">
        <v>86</v>
      </c>
      <c r="AX20">
        <v>74</v>
      </c>
      <c r="AY20">
        <v>49</v>
      </c>
      <c r="AZ20">
        <v>25</v>
      </c>
      <c r="BA20">
        <v>82</v>
      </c>
      <c r="BB20">
        <v>83</v>
      </c>
      <c r="BC20">
        <v>27</v>
      </c>
      <c r="BD20">
        <v>66</v>
      </c>
      <c r="BE20">
        <v>45</v>
      </c>
      <c r="BF20">
        <v>36</v>
      </c>
      <c r="BG20">
        <v>74</v>
      </c>
      <c r="BH20">
        <v>74</v>
      </c>
      <c r="BI20">
        <v>63</v>
      </c>
      <c r="BJ20">
        <v>61</v>
      </c>
      <c r="BK20">
        <v>60</v>
      </c>
      <c r="BL20">
        <v>85</v>
      </c>
      <c r="BM20">
        <v>60</v>
      </c>
      <c r="BN20">
        <v>65</v>
      </c>
      <c r="BO20">
        <v>81</v>
      </c>
      <c r="BP20">
        <v>70</v>
      </c>
      <c r="BQ20">
        <v>74</v>
      </c>
      <c r="BR20">
        <v>60</v>
      </c>
      <c r="BS20">
        <v>79</v>
      </c>
      <c r="BT20">
        <v>85</v>
      </c>
      <c r="BU20">
        <v>31</v>
      </c>
      <c r="BV20">
        <v>70</v>
      </c>
      <c r="BW20">
        <v>41</v>
      </c>
      <c r="BX20">
        <v>85</v>
      </c>
      <c r="BY20">
        <v>88</v>
      </c>
      <c r="BZ20">
        <v>87</v>
      </c>
      <c r="CA20">
        <v>82</v>
      </c>
      <c r="CB20">
        <v>8</v>
      </c>
      <c r="CC20">
        <v>10</v>
      </c>
      <c r="CD20">
        <v>7</v>
      </c>
      <c r="CE20">
        <v>14</v>
      </c>
      <c r="CF20">
        <v>13</v>
      </c>
      <c r="CH20" t="s">
        <v>384</v>
      </c>
      <c r="CI20" t="s">
        <v>384</v>
      </c>
      <c r="CJ20" t="s">
        <v>384</v>
      </c>
      <c r="CK20" t="s">
        <v>49</v>
      </c>
      <c r="CL20" t="s">
        <v>49</v>
      </c>
      <c r="CM20" t="s">
        <v>49</v>
      </c>
      <c r="CN20" t="s">
        <v>49</v>
      </c>
      <c r="CO20" t="s">
        <v>49</v>
      </c>
      <c r="CP20" t="s">
        <v>38</v>
      </c>
      <c r="CQ20" t="s">
        <v>38</v>
      </c>
      <c r="CR20" t="s">
        <v>38</v>
      </c>
      <c r="CS20" t="s">
        <v>261</v>
      </c>
      <c r="CT20" t="s">
        <v>282</v>
      </c>
      <c r="CU20" t="s">
        <v>282</v>
      </c>
      <c r="CV20" t="s">
        <v>282</v>
      </c>
      <c r="CW20" t="s">
        <v>261</v>
      </c>
      <c r="CX20" t="s">
        <v>25</v>
      </c>
      <c r="CY20" t="s">
        <v>305</v>
      </c>
      <c r="CZ20" t="s">
        <v>305</v>
      </c>
      <c r="DA20" t="s">
        <v>305</v>
      </c>
      <c r="DB20" t="s">
        <v>25</v>
      </c>
      <c r="DC20" t="s">
        <v>30</v>
      </c>
      <c r="DD20" t="s">
        <v>368</v>
      </c>
      <c r="DE20" t="s">
        <v>368</v>
      </c>
      <c r="DF20" t="s">
        <v>368</v>
      </c>
      <c r="DG20" t="s">
        <v>30</v>
      </c>
      <c r="DH20" t="s">
        <v>27</v>
      </c>
      <c r="DI2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12.408581699999999</v>
      </c>
      <c r="DJ20" t="s">
        <v>414</v>
      </c>
      <c r="DK20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2.3422893789062496</v>
      </c>
      <c r="DL20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12.520302763277916</v>
      </c>
    </row>
    <row r="21" spans="1:116" x14ac:dyDescent="0.2">
      <c r="A21">
        <v>210008</v>
      </c>
      <c r="B21" t="s">
        <v>415</v>
      </c>
      <c r="C21">
        <v>26</v>
      </c>
      <c r="D21">
        <v>4</v>
      </c>
      <c r="E21" s="1">
        <v>45919</v>
      </c>
      <c r="F21" t="s">
        <v>416</v>
      </c>
      <c r="G21">
        <v>0</v>
      </c>
      <c r="H21">
        <v>1</v>
      </c>
      <c r="I21" t="s">
        <v>417</v>
      </c>
      <c r="J21" t="s">
        <v>115</v>
      </c>
      <c r="K21">
        <v>83</v>
      </c>
      <c r="L21">
        <v>83</v>
      </c>
      <c r="M21">
        <v>35000000</v>
      </c>
      <c r="N21">
        <v>71000</v>
      </c>
      <c r="O21">
        <v>30</v>
      </c>
      <c r="P21" s="1">
        <v>34792</v>
      </c>
      <c r="Q21">
        <v>191</v>
      </c>
      <c r="R21">
        <v>80</v>
      </c>
      <c r="S21">
        <v>31</v>
      </c>
      <c r="T21" t="s">
        <v>250</v>
      </c>
      <c r="U21">
        <v>1</v>
      </c>
      <c r="V21">
        <v>47</v>
      </c>
      <c r="W21" t="s">
        <v>295</v>
      </c>
      <c r="X21" t="s">
        <v>110</v>
      </c>
      <c r="Y21">
        <v>12</v>
      </c>
      <c r="AA21" s="1">
        <v>45901</v>
      </c>
      <c r="AB21">
        <v>2028</v>
      </c>
      <c r="AC21">
        <v>18</v>
      </c>
      <c r="AD21" t="s">
        <v>296</v>
      </c>
      <c r="AE21">
        <v>1335</v>
      </c>
      <c r="AF21" t="s">
        <v>110</v>
      </c>
      <c r="AG21">
        <v>14</v>
      </c>
      <c r="AH21" t="s">
        <v>18</v>
      </c>
      <c r="AI21">
        <v>3</v>
      </c>
      <c r="AJ21">
        <v>3</v>
      </c>
      <c r="AK21">
        <v>3</v>
      </c>
      <c r="AM21" t="s">
        <v>127</v>
      </c>
      <c r="AN21" t="s">
        <v>254</v>
      </c>
      <c r="AO21">
        <v>59500000</v>
      </c>
      <c r="AQ21">
        <v>0</v>
      </c>
      <c r="AR21" t="s">
        <v>418</v>
      </c>
      <c r="AS21">
        <v>81</v>
      </c>
      <c r="AT21">
        <v>79</v>
      </c>
      <c r="AU21">
        <v>81</v>
      </c>
      <c r="AV21">
        <v>80</v>
      </c>
      <c r="AW21">
        <v>77</v>
      </c>
      <c r="AX21">
        <v>84</v>
      </c>
      <c r="AY21">
        <v>78</v>
      </c>
      <c r="AZ21">
        <v>79</v>
      </c>
      <c r="BA21">
        <v>83</v>
      </c>
      <c r="BB21">
        <v>85</v>
      </c>
      <c r="BC21">
        <v>76</v>
      </c>
      <c r="BD21">
        <v>81</v>
      </c>
      <c r="BE21">
        <v>73</v>
      </c>
      <c r="BF21">
        <v>59</v>
      </c>
      <c r="BG21">
        <v>80</v>
      </c>
      <c r="BH21">
        <v>84</v>
      </c>
      <c r="BI21">
        <v>75</v>
      </c>
      <c r="BJ21">
        <v>86</v>
      </c>
      <c r="BK21">
        <v>69</v>
      </c>
      <c r="BL21">
        <v>84</v>
      </c>
      <c r="BM21">
        <v>69</v>
      </c>
      <c r="BN21">
        <v>83</v>
      </c>
      <c r="BO21">
        <v>90</v>
      </c>
      <c r="BP21">
        <v>94</v>
      </c>
      <c r="BQ21">
        <v>82</v>
      </c>
      <c r="BR21">
        <v>77</v>
      </c>
      <c r="BS21">
        <v>77</v>
      </c>
      <c r="BT21">
        <v>78</v>
      </c>
      <c r="BU21">
        <v>88</v>
      </c>
      <c r="BV21">
        <v>84</v>
      </c>
      <c r="BW21">
        <v>69</v>
      </c>
      <c r="BX21">
        <v>85</v>
      </c>
      <c r="BY21">
        <v>72</v>
      </c>
      <c r="BZ21">
        <v>79</v>
      </c>
      <c r="CA21">
        <v>74</v>
      </c>
      <c r="CB21">
        <v>9</v>
      </c>
      <c r="CC21">
        <v>12</v>
      </c>
      <c r="CD21">
        <v>9</v>
      </c>
      <c r="CE21">
        <v>7</v>
      </c>
      <c r="CF21">
        <v>15</v>
      </c>
      <c r="CH21" t="s">
        <v>8</v>
      </c>
      <c r="CI21" t="s">
        <v>8</v>
      </c>
      <c r="CJ21" t="s">
        <v>8</v>
      </c>
      <c r="CK21" t="s">
        <v>9</v>
      </c>
      <c r="CL21" t="s">
        <v>8</v>
      </c>
      <c r="CM21" t="s">
        <v>8</v>
      </c>
      <c r="CN21" t="s">
        <v>8</v>
      </c>
      <c r="CO21" t="s">
        <v>9</v>
      </c>
      <c r="CP21" t="s">
        <v>8</v>
      </c>
      <c r="CQ21" t="s">
        <v>8</v>
      </c>
      <c r="CR21" t="s">
        <v>8</v>
      </c>
      <c r="CS21" t="s">
        <v>8</v>
      </c>
      <c r="CT21" t="s">
        <v>8</v>
      </c>
      <c r="CU21" t="s">
        <v>8</v>
      </c>
      <c r="CV21" t="s">
        <v>8</v>
      </c>
      <c r="CW21" t="s">
        <v>8</v>
      </c>
      <c r="CX21" t="s">
        <v>419</v>
      </c>
      <c r="CY21" t="s">
        <v>419</v>
      </c>
      <c r="CZ21" t="s">
        <v>419</v>
      </c>
      <c r="DA21" t="s">
        <v>419</v>
      </c>
      <c r="DB21" t="s">
        <v>419</v>
      </c>
      <c r="DC21" t="s">
        <v>269</v>
      </c>
      <c r="DD21" t="s">
        <v>7</v>
      </c>
      <c r="DE21" t="s">
        <v>7</v>
      </c>
      <c r="DF21" t="s">
        <v>7</v>
      </c>
      <c r="DG21" t="s">
        <v>269</v>
      </c>
      <c r="DH21" t="s">
        <v>27</v>
      </c>
      <c r="DI2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14.025327300000001</v>
      </c>
      <c r="DJ21" t="s">
        <v>420</v>
      </c>
      <c r="DK21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2.9944914099999997</v>
      </c>
      <c r="DL21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14.109285860313671</v>
      </c>
    </row>
    <row r="22" spans="1:116" x14ac:dyDescent="0.2">
      <c r="A22">
        <v>192883</v>
      </c>
      <c r="B22" t="s">
        <v>421</v>
      </c>
      <c r="C22">
        <v>26</v>
      </c>
      <c r="D22">
        <v>4</v>
      </c>
      <c r="E22" s="1">
        <v>45919</v>
      </c>
      <c r="F22" t="s">
        <v>422</v>
      </c>
      <c r="G22">
        <v>0</v>
      </c>
      <c r="H22">
        <v>1</v>
      </c>
      <c r="I22" t="s">
        <v>423</v>
      </c>
      <c r="J22" t="s">
        <v>266</v>
      </c>
      <c r="K22">
        <v>83</v>
      </c>
      <c r="L22">
        <v>83</v>
      </c>
      <c r="M22">
        <v>11500000</v>
      </c>
      <c r="N22">
        <v>37000</v>
      </c>
      <c r="O22">
        <v>36</v>
      </c>
      <c r="P22" s="1">
        <v>32529</v>
      </c>
      <c r="Q22">
        <v>177</v>
      </c>
      <c r="R22">
        <v>75</v>
      </c>
      <c r="S22">
        <v>31</v>
      </c>
      <c r="T22" t="s">
        <v>250</v>
      </c>
      <c r="U22">
        <v>1</v>
      </c>
      <c r="V22">
        <v>44</v>
      </c>
      <c r="W22" t="s">
        <v>251</v>
      </c>
      <c r="X22" t="s">
        <v>116</v>
      </c>
      <c r="Y22">
        <v>22</v>
      </c>
      <c r="AA22" s="1">
        <v>44743</v>
      </c>
      <c r="AB22">
        <v>2026</v>
      </c>
      <c r="AC22">
        <v>3</v>
      </c>
      <c r="AD22" t="s">
        <v>424</v>
      </c>
      <c r="AH22" t="s">
        <v>2</v>
      </c>
      <c r="AI22">
        <v>5</v>
      </c>
      <c r="AJ22">
        <v>4</v>
      </c>
      <c r="AK22">
        <v>3</v>
      </c>
      <c r="AM22" t="s">
        <v>3</v>
      </c>
      <c r="AN22" t="s">
        <v>254</v>
      </c>
      <c r="AO22">
        <v>19000000</v>
      </c>
      <c r="AQ22">
        <v>0</v>
      </c>
      <c r="AR22" t="s">
        <v>425</v>
      </c>
      <c r="AS22">
        <v>77</v>
      </c>
      <c r="AT22">
        <v>78</v>
      </c>
      <c r="AU22">
        <v>82</v>
      </c>
      <c r="AV22">
        <v>83</v>
      </c>
      <c r="AW22">
        <v>72</v>
      </c>
      <c r="AX22">
        <v>75</v>
      </c>
      <c r="AY22">
        <v>76</v>
      </c>
      <c r="AZ22">
        <v>78</v>
      </c>
      <c r="BA22">
        <v>68</v>
      </c>
      <c r="BB22">
        <v>85</v>
      </c>
      <c r="BC22">
        <v>79</v>
      </c>
      <c r="BD22">
        <v>82</v>
      </c>
      <c r="BE22">
        <v>83</v>
      </c>
      <c r="BF22">
        <v>69</v>
      </c>
      <c r="BG22">
        <v>82</v>
      </c>
      <c r="BH22">
        <v>86</v>
      </c>
      <c r="BI22">
        <v>79</v>
      </c>
      <c r="BJ22">
        <v>75</v>
      </c>
      <c r="BK22">
        <v>81</v>
      </c>
      <c r="BL22">
        <v>83</v>
      </c>
      <c r="BM22">
        <v>80</v>
      </c>
      <c r="BN22">
        <v>81</v>
      </c>
      <c r="BO22">
        <v>77</v>
      </c>
      <c r="BP22">
        <v>84</v>
      </c>
      <c r="BQ22">
        <v>67</v>
      </c>
      <c r="BR22">
        <v>76</v>
      </c>
      <c r="BS22">
        <v>82</v>
      </c>
      <c r="BT22">
        <v>75</v>
      </c>
      <c r="BU22">
        <v>83</v>
      </c>
      <c r="BV22">
        <v>84</v>
      </c>
      <c r="BW22">
        <v>72</v>
      </c>
      <c r="BX22">
        <v>85</v>
      </c>
      <c r="BY22">
        <v>71</v>
      </c>
      <c r="BZ22">
        <v>74</v>
      </c>
      <c r="CA22">
        <v>70</v>
      </c>
      <c r="CB22">
        <v>5</v>
      </c>
      <c r="CC22">
        <v>11</v>
      </c>
      <c r="CD22">
        <v>14</v>
      </c>
      <c r="CE22">
        <v>5</v>
      </c>
      <c r="CF22">
        <v>7</v>
      </c>
      <c r="CH22" t="s">
        <v>7</v>
      </c>
      <c r="CI22" t="s">
        <v>7</v>
      </c>
      <c r="CJ22" t="s">
        <v>7</v>
      </c>
      <c r="CK22" t="s">
        <v>36</v>
      </c>
      <c r="CL22" t="s">
        <v>9</v>
      </c>
      <c r="CM22" t="s">
        <v>9</v>
      </c>
      <c r="CN22" t="s">
        <v>9</v>
      </c>
      <c r="CO22" t="s">
        <v>36</v>
      </c>
      <c r="CP22" t="s">
        <v>8</v>
      </c>
      <c r="CQ22" t="s">
        <v>8</v>
      </c>
      <c r="CR22" t="s">
        <v>8</v>
      </c>
      <c r="CS22" t="s">
        <v>426</v>
      </c>
      <c r="CT22" t="s">
        <v>8</v>
      </c>
      <c r="CU22" t="s">
        <v>8</v>
      </c>
      <c r="CV22" t="s">
        <v>8</v>
      </c>
      <c r="CW22" t="s">
        <v>426</v>
      </c>
      <c r="CX22" t="s">
        <v>10</v>
      </c>
      <c r="CY22" t="s">
        <v>7</v>
      </c>
      <c r="CZ22" t="s">
        <v>7</v>
      </c>
      <c r="DA22" t="s">
        <v>7</v>
      </c>
      <c r="DB22" t="s">
        <v>10</v>
      </c>
      <c r="DC22" t="s">
        <v>30</v>
      </c>
      <c r="DD22" t="s">
        <v>23</v>
      </c>
      <c r="DE22" t="s">
        <v>23</v>
      </c>
      <c r="DF22" t="s">
        <v>23</v>
      </c>
      <c r="DG22" t="s">
        <v>30</v>
      </c>
      <c r="DH22" t="s">
        <v>40</v>
      </c>
      <c r="DI2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13.681677800000001</v>
      </c>
      <c r="DJ22" t="s">
        <v>427</v>
      </c>
      <c r="DK22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3.0977926099999995</v>
      </c>
      <c r="DL22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13.841042212038071</v>
      </c>
    </row>
    <row r="23" spans="1:116" x14ac:dyDescent="0.2">
      <c r="A23">
        <v>177003</v>
      </c>
      <c r="B23" t="s">
        <v>428</v>
      </c>
      <c r="C23">
        <v>26</v>
      </c>
      <c r="D23">
        <v>4</v>
      </c>
      <c r="E23" s="1">
        <v>45919</v>
      </c>
      <c r="F23" t="s">
        <v>429</v>
      </c>
      <c r="G23">
        <v>0</v>
      </c>
      <c r="H23">
        <v>1</v>
      </c>
      <c r="I23" t="s">
        <v>430</v>
      </c>
      <c r="J23" t="s">
        <v>121</v>
      </c>
      <c r="K23">
        <v>83</v>
      </c>
      <c r="L23">
        <v>83</v>
      </c>
      <c r="M23">
        <v>11500000</v>
      </c>
      <c r="N23">
        <v>47000</v>
      </c>
      <c r="O23">
        <v>39</v>
      </c>
      <c r="P23" s="1">
        <v>31299</v>
      </c>
      <c r="Q23">
        <v>172</v>
      </c>
      <c r="R23">
        <v>67</v>
      </c>
      <c r="S23">
        <v>31</v>
      </c>
      <c r="T23" t="s">
        <v>250</v>
      </c>
      <c r="U23">
        <v>1</v>
      </c>
      <c r="V23">
        <v>47</v>
      </c>
      <c r="W23" t="s">
        <v>295</v>
      </c>
      <c r="X23" t="s">
        <v>116</v>
      </c>
      <c r="Y23">
        <v>14</v>
      </c>
      <c r="AA23" s="1">
        <v>45852</v>
      </c>
      <c r="AB23">
        <v>2026</v>
      </c>
      <c r="AC23">
        <v>10</v>
      </c>
      <c r="AD23" t="s">
        <v>431</v>
      </c>
      <c r="AE23">
        <v>1328</v>
      </c>
      <c r="AF23" t="s">
        <v>116</v>
      </c>
      <c r="AG23">
        <v>10</v>
      </c>
      <c r="AH23" t="s">
        <v>2</v>
      </c>
      <c r="AI23">
        <v>4</v>
      </c>
      <c r="AJ23">
        <v>4</v>
      </c>
      <c r="AK23">
        <v>3</v>
      </c>
      <c r="AM23" t="s">
        <v>19</v>
      </c>
      <c r="AN23" t="s">
        <v>254</v>
      </c>
      <c r="AO23">
        <v>19600000</v>
      </c>
      <c r="AP23" t="s">
        <v>432</v>
      </c>
      <c r="AQ23">
        <v>0</v>
      </c>
      <c r="AR23" t="s">
        <v>433</v>
      </c>
      <c r="AS23">
        <v>68</v>
      </c>
      <c r="AT23">
        <v>74</v>
      </c>
      <c r="AU23">
        <v>86</v>
      </c>
      <c r="AV23">
        <v>86</v>
      </c>
      <c r="AW23">
        <v>70</v>
      </c>
      <c r="AX23">
        <v>62</v>
      </c>
      <c r="AY23">
        <v>86</v>
      </c>
      <c r="AZ23">
        <v>68</v>
      </c>
      <c r="BA23">
        <v>55</v>
      </c>
      <c r="BB23">
        <v>87</v>
      </c>
      <c r="BC23">
        <v>76</v>
      </c>
      <c r="BD23">
        <v>84</v>
      </c>
      <c r="BE23">
        <v>85</v>
      </c>
      <c r="BF23">
        <v>78</v>
      </c>
      <c r="BG23">
        <v>86</v>
      </c>
      <c r="BH23">
        <v>88</v>
      </c>
      <c r="BI23">
        <v>72</v>
      </c>
      <c r="BJ23">
        <v>65</v>
      </c>
      <c r="BK23">
        <v>89</v>
      </c>
      <c r="BL23">
        <v>79</v>
      </c>
      <c r="BM23">
        <v>90</v>
      </c>
      <c r="BN23">
        <v>79</v>
      </c>
      <c r="BO23">
        <v>66</v>
      </c>
      <c r="BP23">
        <v>69</v>
      </c>
      <c r="BQ23">
        <v>58</v>
      </c>
      <c r="BR23">
        <v>80</v>
      </c>
      <c r="BS23">
        <v>60</v>
      </c>
      <c r="BT23">
        <v>75</v>
      </c>
      <c r="BU23">
        <v>76</v>
      </c>
      <c r="BV23">
        <v>88</v>
      </c>
      <c r="BW23">
        <v>83</v>
      </c>
      <c r="BX23">
        <v>91</v>
      </c>
      <c r="BY23">
        <v>70</v>
      </c>
      <c r="BZ23">
        <v>70</v>
      </c>
      <c r="CA23">
        <v>72</v>
      </c>
      <c r="CB23">
        <v>13</v>
      </c>
      <c r="CC23">
        <v>9</v>
      </c>
      <c r="CD23">
        <v>7</v>
      </c>
      <c r="CE23">
        <v>14</v>
      </c>
      <c r="CF23">
        <v>9</v>
      </c>
      <c r="CH23" t="s">
        <v>23</v>
      </c>
      <c r="CI23" t="s">
        <v>23</v>
      </c>
      <c r="CJ23" t="s">
        <v>23</v>
      </c>
      <c r="CK23" t="s">
        <v>36</v>
      </c>
      <c r="CL23" t="s">
        <v>44</v>
      </c>
      <c r="CM23" t="s">
        <v>44</v>
      </c>
      <c r="CN23" t="s">
        <v>44</v>
      </c>
      <c r="CO23" t="s">
        <v>36</v>
      </c>
      <c r="CP23" t="s">
        <v>426</v>
      </c>
      <c r="CQ23" t="s">
        <v>426</v>
      </c>
      <c r="CR23" t="s">
        <v>426</v>
      </c>
      <c r="CS23" t="s">
        <v>419</v>
      </c>
      <c r="CT23" t="s">
        <v>426</v>
      </c>
      <c r="CU23" t="s">
        <v>426</v>
      </c>
      <c r="CV23" t="s">
        <v>426</v>
      </c>
      <c r="CW23" t="s">
        <v>419</v>
      </c>
      <c r="CX23" t="s">
        <v>30</v>
      </c>
      <c r="CY23" t="s">
        <v>30</v>
      </c>
      <c r="CZ23" t="s">
        <v>30</v>
      </c>
      <c r="DA23" t="s">
        <v>30</v>
      </c>
      <c r="DB23" t="s">
        <v>30</v>
      </c>
      <c r="DC23" t="s">
        <v>25</v>
      </c>
      <c r="DD23" t="s">
        <v>283</v>
      </c>
      <c r="DE23" t="s">
        <v>283</v>
      </c>
      <c r="DF23" t="s">
        <v>283</v>
      </c>
      <c r="DG23" t="s">
        <v>25</v>
      </c>
      <c r="DH23" t="s">
        <v>293</v>
      </c>
      <c r="DI2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12.6322071</v>
      </c>
      <c r="DJ23" t="s">
        <v>434</v>
      </c>
      <c r="DK23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3.2657572899999998</v>
      </c>
      <c r="DL23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12.773625835593229</v>
      </c>
    </row>
    <row r="24" spans="1:116" x14ac:dyDescent="0.2">
      <c r="A24">
        <v>217870</v>
      </c>
      <c r="B24" t="s">
        <v>435</v>
      </c>
      <c r="C24">
        <v>26</v>
      </c>
      <c r="D24">
        <v>4</v>
      </c>
      <c r="E24" s="1">
        <v>45919</v>
      </c>
      <c r="F24" t="s">
        <v>436</v>
      </c>
      <c r="G24">
        <v>1</v>
      </c>
      <c r="H24">
        <v>0</v>
      </c>
      <c r="I24" t="s">
        <v>437</v>
      </c>
      <c r="J24" t="s">
        <v>135</v>
      </c>
      <c r="K24">
        <v>83</v>
      </c>
      <c r="L24">
        <v>83</v>
      </c>
      <c r="M24">
        <v>26500000</v>
      </c>
      <c r="N24">
        <v>120000</v>
      </c>
      <c r="O24">
        <v>31</v>
      </c>
      <c r="P24" s="1">
        <v>34185</v>
      </c>
      <c r="Q24">
        <v>183</v>
      </c>
      <c r="R24">
        <v>82</v>
      </c>
      <c r="S24">
        <v>31</v>
      </c>
      <c r="T24" t="s">
        <v>250</v>
      </c>
      <c r="U24">
        <v>1</v>
      </c>
      <c r="V24">
        <v>48</v>
      </c>
      <c r="W24" t="s">
        <v>278</v>
      </c>
      <c r="X24" t="s">
        <v>56</v>
      </c>
      <c r="Y24">
        <v>22</v>
      </c>
      <c r="AA24" s="1">
        <v>43647</v>
      </c>
      <c r="AB24">
        <v>2028</v>
      </c>
      <c r="AC24">
        <v>27</v>
      </c>
      <c r="AD24" t="s">
        <v>267</v>
      </c>
      <c r="AE24">
        <v>1343</v>
      </c>
      <c r="AF24" t="s">
        <v>56</v>
      </c>
      <c r="AG24">
        <v>22</v>
      </c>
      <c r="AH24" t="s">
        <v>2</v>
      </c>
      <c r="AI24">
        <v>4</v>
      </c>
      <c r="AJ24">
        <v>3</v>
      </c>
      <c r="AK24">
        <v>3</v>
      </c>
      <c r="AM24" t="s">
        <v>3</v>
      </c>
      <c r="AN24" t="s">
        <v>254</v>
      </c>
      <c r="AO24">
        <v>45100000</v>
      </c>
      <c r="AQ24">
        <v>0</v>
      </c>
      <c r="AR24" t="s">
        <v>438</v>
      </c>
      <c r="AS24">
        <v>84</v>
      </c>
      <c r="AT24">
        <v>72</v>
      </c>
      <c r="AU24">
        <v>73</v>
      </c>
      <c r="AV24">
        <v>77</v>
      </c>
      <c r="AW24">
        <v>79</v>
      </c>
      <c r="AX24">
        <v>80</v>
      </c>
      <c r="AY24">
        <v>79</v>
      </c>
      <c r="AZ24">
        <v>72</v>
      </c>
      <c r="BA24">
        <v>72</v>
      </c>
      <c r="BB24">
        <v>76</v>
      </c>
      <c r="BC24">
        <v>63</v>
      </c>
      <c r="BD24">
        <v>76</v>
      </c>
      <c r="BE24">
        <v>67</v>
      </c>
      <c r="BF24">
        <v>66</v>
      </c>
      <c r="BG24">
        <v>72</v>
      </c>
      <c r="BH24">
        <v>78</v>
      </c>
      <c r="BI24">
        <v>83</v>
      </c>
      <c r="BJ24">
        <v>85</v>
      </c>
      <c r="BK24">
        <v>76</v>
      </c>
      <c r="BL24">
        <v>80</v>
      </c>
      <c r="BM24">
        <v>74</v>
      </c>
      <c r="BN24">
        <v>75</v>
      </c>
      <c r="BO24">
        <v>84</v>
      </c>
      <c r="BP24">
        <v>90</v>
      </c>
      <c r="BQ24">
        <v>74</v>
      </c>
      <c r="BR24">
        <v>72</v>
      </c>
      <c r="BS24">
        <v>79</v>
      </c>
      <c r="BT24">
        <v>80</v>
      </c>
      <c r="BU24">
        <v>74</v>
      </c>
      <c r="BV24">
        <v>68</v>
      </c>
      <c r="BW24">
        <v>60</v>
      </c>
      <c r="BX24">
        <v>74</v>
      </c>
      <c r="BY24">
        <v>79</v>
      </c>
      <c r="BZ24">
        <v>81</v>
      </c>
      <c r="CA24">
        <v>78</v>
      </c>
      <c r="CB24">
        <v>8</v>
      </c>
      <c r="CC24">
        <v>10</v>
      </c>
      <c r="CD24">
        <v>8</v>
      </c>
      <c r="CE24">
        <v>10</v>
      </c>
      <c r="CF24">
        <v>7</v>
      </c>
      <c r="CH24" t="s">
        <v>25</v>
      </c>
      <c r="CI24" t="s">
        <v>25</v>
      </c>
      <c r="CJ24" t="s">
        <v>25</v>
      </c>
      <c r="CK24" t="s">
        <v>43</v>
      </c>
      <c r="CL24" t="s">
        <v>97</v>
      </c>
      <c r="CM24" t="s">
        <v>97</v>
      </c>
      <c r="CN24" t="s">
        <v>97</v>
      </c>
      <c r="CO24" t="s">
        <v>43</v>
      </c>
      <c r="CP24" t="s">
        <v>25</v>
      </c>
      <c r="CQ24" t="s">
        <v>25</v>
      </c>
      <c r="CR24" t="s">
        <v>25</v>
      </c>
      <c r="CS24" t="s">
        <v>30</v>
      </c>
      <c r="CT24" t="s">
        <v>24</v>
      </c>
      <c r="CU24" t="s">
        <v>24</v>
      </c>
      <c r="CV24" t="s">
        <v>24</v>
      </c>
      <c r="CW24" t="s">
        <v>30</v>
      </c>
      <c r="CX24" t="s">
        <v>269</v>
      </c>
      <c r="CY24" t="s">
        <v>10</v>
      </c>
      <c r="CZ24" t="s">
        <v>10</v>
      </c>
      <c r="DA24" t="s">
        <v>10</v>
      </c>
      <c r="DB24" t="s">
        <v>269</v>
      </c>
      <c r="DC24" t="s">
        <v>269</v>
      </c>
      <c r="DD24" t="s">
        <v>10</v>
      </c>
      <c r="DE24" t="s">
        <v>10</v>
      </c>
      <c r="DF24" t="s">
        <v>10</v>
      </c>
      <c r="DG24" t="s">
        <v>269</v>
      </c>
      <c r="DH24" t="s">
        <v>46</v>
      </c>
      <c r="DI2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13.972293199999999</v>
      </c>
      <c r="DJ24" t="s">
        <v>439</v>
      </c>
      <c r="DK24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2.6092181600000002</v>
      </c>
      <c r="DL24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14.136297897715918</v>
      </c>
    </row>
    <row r="25" spans="1:116" x14ac:dyDescent="0.2">
      <c r="A25">
        <v>216435</v>
      </c>
      <c r="B25" t="s">
        <v>440</v>
      </c>
      <c r="C25">
        <v>26</v>
      </c>
      <c r="D25">
        <v>4</v>
      </c>
      <c r="E25" s="1">
        <v>45919</v>
      </c>
      <c r="F25" t="s">
        <v>441</v>
      </c>
      <c r="G25">
        <v>0</v>
      </c>
      <c r="H25">
        <v>1</v>
      </c>
      <c r="I25" t="s">
        <v>442</v>
      </c>
      <c r="J25" t="s">
        <v>443</v>
      </c>
      <c r="K25">
        <v>83</v>
      </c>
      <c r="L25">
        <v>83</v>
      </c>
      <c r="M25">
        <v>34500000</v>
      </c>
      <c r="N25">
        <v>125000</v>
      </c>
      <c r="O25">
        <v>30</v>
      </c>
      <c r="P25" s="1">
        <v>34663</v>
      </c>
      <c r="Q25">
        <v>170</v>
      </c>
      <c r="R25">
        <v>68</v>
      </c>
      <c r="S25">
        <v>31</v>
      </c>
      <c r="T25" t="s">
        <v>250</v>
      </c>
      <c r="U25">
        <v>1</v>
      </c>
      <c r="V25">
        <v>48</v>
      </c>
      <c r="W25" t="s">
        <v>278</v>
      </c>
      <c r="X25" t="s">
        <v>28</v>
      </c>
      <c r="Y25">
        <v>68</v>
      </c>
      <c r="AA25" s="1">
        <v>43845</v>
      </c>
      <c r="AB25">
        <v>2027</v>
      </c>
      <c r="AC25">
        <v>43</v>
      </c>
      <c r="AD25" t="s">
        <v>444</v>
      </c>
      <c r="AH25" t="s">
        <v>2</v>
      </c>
      <c r="AI25">
        <v>4</v>
      </c>
      <c r="AJ25">
        <v>3</v>
      </c>
      <c r="AK25">
        <v>3</v>
      </c>
      <c r="AM25" t="s">
        <v>91</v>
      </c>
      <c r="AN25" t="s">
        <v>254</v>
      </c>
      <c r="AO25">
        <v>58700000</v>
      </c>
      <c r="AQ25">
        <v>0</v>
      </c>
      <c r="AR25" t="s">
        <v>445</v>
      </c>
      <c r="AS25">
        <v>71</v>
      </c>
      <c r="AT25">
        <v>69</v>
      </c>
      <c r="AU25">
        <v>80</v>
      </c>
      <c r="AV25">
        <v>82</v>
      </c>
      <c r="AW25">
        <v>76</v>
      </c>
      <c r="AX25">
        <v>71</v>
      </c>
      <c r="AY25">
        <v>75</v>
      </c>
      <c r="AZ25">
        <v>68</v>
      </c>
      <c r="BA25">
        <v>45</v>
      </c>
      <c r="BB25">
        <v>85</v>
      </c>
      <c r="BC25">
        <v>43</v>
      </c>
      <c r="BD25">
        <v>81</v>
      </c>
      <c r="BE25">
        <v>75</v>
      </c>
      <c r="BF25">
        <v>55</v>
      </c>
      <c r="BG25">
        <v>85</v>
      </c>
      <c r="BH25">
        <v>85</v>
      </c>
      <c r="BI25">
        <v>76</v>
      </c>
      <c r="BJ25">
        <v>67</v>
      </c>
      <c r="BK25">
        <v>75</v>
      </c>
      <c r="BL25">
        <v>81</v>
      </c>
      <c r="BM25">
        <v>85</v>
      </c>
      <c r="BN25">
        <v>69</v>
      </c>
      <c r="BO25">
        <v>65</v>
      </c>
      <c r="BP25">
        <v>88</v>
      </c>
      <c r="BQ25">
        <v>61</v>
      </c>
      <c r="BR25">
        <v>77</v>
      </c>
      <c r="BS25">
        <v>76</v>
      </c>
      <c r="BT25">
        <v>80</v>
      </c>
      <c r="BU25">
        <v>76</v>
      </c>
      <c r="BV25">
        <v>82</v>
      </c>
      <c r="BW25">
        <v>56</v>
      </c>
      <c r="BX25">
        <v>77</v>
      </c>
      <c r="BY25">
        <v>78</v>
      </c>
      <c r="BZ25">
        <v>81</v>
      </c>
      <c r="CA25">
        <v>75</v>
      </c>
      <c r="CB25">
        <v>10</v>
      </c>
      <c r="CC25">
        <v>7</v>
      </c>
      <c r="CD25">
        <v>16</v>
      </c>
      <c r="CE25">
        <v>13</v>
      </c>
      <c r="CF25">
        <v>14</v>
      </c>
      <c r="CH25" t="s">
        <v>354</v>
      </c>
      <c r="CI25" t="s">
        <v>354</v>
      </c>
      <c r="CJ25" t="s">
        <v>354</v>
      </c>
      <c r="CK25" t="s">
        <v>66</v>
      </c>
      <c r="CL25" t="s">
        <v>66</v>
      </c>
      <c r="CM25" t="s">
        <v>66</v>
      </c>
      <c r="CN25" t="s">
        <v>66</v>
      </c>
      <c r="CO25" t="s">
        <v>66</v>
      </c>
      <c r="CP25" t="s">
        <v>269</v>
      </c>
      <c r="CQ25" t="s">
        <v>269</v>
      </c>
      <c r="CR25" t="s">
        <v>269</v>
      </c>
      <c r="CS25" t="s">
        <v>269</v>
      </c>
      <c r="CT25" t="s">
        <v>8</v>
      </c>
      <c r="CU25" t="s">
        <v>8</v>
      </c>
      <c r="CV25" t="s">
        <v>8</v>
      </c>
      <c r="CW25" t="s">
        <v>269</v>
      </c>
      <c r="CX25" t="s">
        <v>269</v>
      </c>
      <c r="CY25" t="s">
        <v>419</v>
      </c>
      <c r="CZ25" t="s">
        <v>419</v>
      </c>
      <c r="DA25" t="s">
        <v>419</v>
      </c>
      <c r="DB25" t="s">
        <v>269</v>
      </c>
      <c r="DC25" t="s">
        <v>10</v>
      </c>
      <c r="DD25" t="s">
        <v>23</v>
      </c>
      <c r="DE25" t="s">
        <v>23</v>
      </c>
      <c r="DF25" t="s">
        <v>23</v>
      </c>
      <c r="DG25" t="s">
        <v>10</v>
      </c>
      <c r="DH25" t="s">
        <v>27</v>
      </c>
      <c r="DI2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12.326363499999999</v>
      </c>
      <c r="DJ25" t="s">
        <v>446</v>
      </c>
      <c r="DK25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2.9944309999999996</v>
      </c>
      <c r="DL25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12.466941980596998</v>
      </c>
    </row>
    <row r="26" spans="1:116" x14ac:dyDescent="0.2">
      <c r="A26">
        <v>243580</v>
      </c>
      <c r="B26" t="s">
        <v>447</v>
      </c>
      <c r="C26">
        <v>26</v>
      </c>
      <c r="D26">
        <v>4</v>
      </c>
      <c r="E26" s="1">
        <v>45919</v>
      </c>
      <c r="F26" t="s">
        <v>448</v>
      </c>
      <c r="G26">
        <v>0</v>
      </c>
      <c r="H26">
        <v>0</v>
      </c>
      <c r="I26" t="s">
        <v>449</v>
      </c>
      <c r="J26" t="s">
        <v>34</v>
      </c>
      <c r="K26">
        <v>83</v>
      </c>
      <c r="L26">
        <v>85</v>
      </c>
      <c r="M26">
        <v>46000000</v>
      </c>
      <c r="N26">
        <v>77000</v>
      </c>
      <c r="O26">
        <v>25</v>
      </c>
      <c r="P26" s="1">
        <v>36572</v>
      </c>
      <c r="Q26">
        <v>175</v>
      </c>
      <c r="R26">
        <v>79</v>
      </c>
      <c r="S26">
        <v>31</v>
      </c>
      <c r="T26" t="s">
        <v>250</v>
      </c>
      <c r="U26">
        <v>1</v>
      </c>
      <c r="V26">
        <v>45</v>
      </c>
      <c r="W26" t="s">
        <v>345</v>
      </c>
      <c r="X26" t="s">
        <v>110</v>
      </c>
      <c r="Y26">
        <v>20</v>
      </c>
      <c r="Z26" t="s">
        <v>450</v>
      </c>
      <c r="AB26">
        <v>2026</v>
      </c>
      <c r="AC26">
        <v>7</v>
      </c>
      <c r="AD26" t="s">
        <v>279</v>
      </c>
      <c r="AH26" t="s">
        <v>2</v>
      </c>
      <c r="AI26">
        <v>4</v>
      </c>
      <c r="AJ26">
        <v>3</v>
      </c>
      <c r="AK26">
        <v>3</v>
      </c>
      <c r="AM26" t="s">
        <v>3</v>
      </c>
      <c r="AN26" t="s">
        <v>254</v>
      </c>
      <c r="AP26" t="s">
        <v>92</v>
      </c>
      <c r="AQ26">
        <v>1</v>
      </c>
      <c r="AR26" t="s">
        <v>451</v>
      </c>
      <c r="AS26">
        <v>95</v>
      </c>
      <c r="AT26">
        <v>81</v>
      </c>
      <c r="AU26">
        <v>69</v>
      </c>
      <c r="AV26">
        <v>81</v>
      </c>
      <c r="AW26">
        <v>31</v>
      </c>
      <c r="AX26">
        <v>80</v>
      </c>
      <c r="AY26">
        <v>69</v>
      </c>
      <c r="AZ26">
        <v>84</v>
      </c>
      <c r="BA26">
        <v>79</v>
      </c>
      <c r="BB26">
        <v>75</v>
      </c>
      <c r="BC26">
        <v>77</v>
      </c>
      <c r="BD26">
        <v>79</v>
      </c>
      <c r="BE26">
        <v>66</v>
      </c>
      <c r="BF26">
        <v>53</v>
      </c>
      <c r="BG26">
        <v>59</v>
      </c>
      <c r="BH26">
        <v>81</v>
      </c>
      <c r="BI26">
        <v>94</v>
      </c>
      <c r="BJ26">
        <v>96</v>
      </c>
      <c r="BK26">
        <v>83</v>
      </c>
      <c r="BL26">
        <v>84</v>
      </c>
      <c r="BM26">
        <v>85</v>
      </c>
      <c r="BN26">
        <v>85</v>
      </c>
      <c r="BO26">
        <v>93</v>
      </c>
      <c r="BP26">
        <v>83</v>
      </c>
      <c r="BQ26">
        <v>80</v>
      </c>
      <c r="BR26">
        <v>74</v>
      </c>
      <c r="BS26">
        <v>74</v>
      </c>
      <c r="BT26">
        <v>26</v>
      </c>
      <c r="BU26">
        <v>83</v>
      </c>
      <c r="BV26">
        <v>69</v>
      </c>
      <c r="BW26">
        <v>74</v>
      </c>
      <c r="BX26">
        <v>80</v>
      </c>
      <c r="BY26">
        <v>29</v>
      </c>
      <c r="BZ26">
        <v>23</v>
      </c>
      <c r="CA26">
        <v>19</v>
      </c>
      <c r="CB26">
        <v>9</v>
      </c>
      <c r="CC26">
        <v>8</v>
      </c>
      <c r="CD26">
        <v>10</v>
      </c>
      <c r="CE26">
        <v>8</v>
      </c>
      <c r="CF26">
        <v>13</v>
      </c>
      <c r="CH26" t="s">
        <v>327</v>
      </c>
      <c r="CI26" t="s">
        <v>327</v>
      </c>
      <c r="CJ26" t="s">
        <v>327</v>
      </c>
      <c r="CK26" t="s">
        <v>36</v>
      </c>
      <c r="CL26" t="s">
        <v>36</v>
      </c>
      <c r="CM26" t="s">
        <v>36</v>
      </c>
      <c r="CN26" t="s">
        <v>36</v>
      </c>
      <c r="CO26" t="s">
        <v>36</v>
      </c>
      <c r="CP26" t="s">
        <v>7</v>
      </c>
      <c r="CQ26" t="s">
        <v>7</v>
      </c>
      <c r="CR26" t="s">
        <v>7</v>
      </c>
      <c r="CS26" t="s">
        <v>7</v>
      </c>
      <c r="CT26" t="s">
        <v>290</v>
      </c>
      <c r="CU26" t="s">
        <v>290</v>
      </c>
      <c r="CV26" t="s">
        <v>290</v>
      </c>
      <c r="CW26" t="s">
        <v>7</v>
      </c>
      <c r="CX26" t="s">
        <v>383</v>
      </c>
      <c r="CY26" t="s">
        <v>452</v>
      </c>
      <c r="CZ26" t="s">
        <v>452</v>
      </c>
      <c r="DA26" t="s">
        <v>452</v>
      </c>
      <c r="DB26" t="s">
        <v>383</v>
      </c>
      <c r="DC26" t="s">
        <v>376</v>
      </c>
      <c r="DD26" t="s">
        <v>453</v>
      </c>
      <c r="DE26" t="s">
        <v>453</v>
      </c>
      <c r="DF26" t="s">
        <v>453</v>
      </c>
      <c r="DG26" t="s">
        <v>376</v>
      </c>
      <c r="DH26" t="s">
        <v>293</v>
      </c>
      <c r="DI2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14.254922499999997</v>
      </c>
      <c r="DJ26" t="s">
        <v>454</v>
      </c>
      <c r="DK26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2.4621568906250002</v>
      </c>
      <c r="DL26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14.303684217744793</v>
      </c>
    </row>
    <row r="27" spans="1:116" x14ac:dyDescent="0.2">
      <c r="A27">
        <v>242458</v>
      </c>
      <c r="B27" t="s">
        <v>455</v>
      </c>
      <c r="C27">
        <v>26</v>
      </c>
      <c r="D27">
        <v>4</v>
      </c>
      <c r="E27" s="1">
        <v>45919</v>
      </c>
      <c r="F27" t="s">
        <v>456</v>
      </c>
      <c r="G27">
        <v>0</v>
      </c>
      <c r="H27">
        <v>0</v>
      </c>
      <c r="I27" t="s">
        <v>457</v>
      </c>
      <c r="J27" t="s">
        <v>34</v>
      </c>
      <c r="K27">
        <v>83</v>
      </c>
      <c r="L27">
        <v>83</v>
      </c>
      <c r="M27">
        <v>37000000</v>
      </c>
      <c r="N27">
        <v>85000</v>
      </c>
      <c r="O27">
        <v>28</v>
      </c>
      <c r="P27" s="1">
        <v>35602</v>
      </c>
      <c r="Q27">
        <v>189</v>
      </c>
      <c r="R27">
        <v>78</v>
      </c>
      <c r="S27">
        <v>31</v>
      </c>
      <c r="T27" t="s">
        <v>250</v>
      </c>
      <c r="U27">
        <v>1</v>
      </c>
      <c r="V27">
        <v>52</v>
      </c>
      <c r="W27" t="s">
        <v>313</v>
      </c>
      <c r="X27" t="s">
        <v>110</v>
      </c>
      <c r="Y27">
        <v>9</v>
      </c>
      <c r="AA27" s="1">
        <v>45506</v>
      </c>
      <c r="AB27">
        <v>2029</v>
      </c>
      <c r="AC27">
        <v>49</v>
      </c>
      <c r="AD27" t="s">
        <v>458</v>
      </c>
      <c r="AE27">
        <v>1366</v>
      </c>
      <c r="AF27" t="s">
        <v>34</v>
      </c>
      <c r="AG27">
        <v>11</v>
      </c>
      <c r="AH27" t="s">
        <v>18</v>
      </c>
      <c r="AI27">
        <v>4</v>
      </c>
      <c r="AJ27">
        <v>3</v>
      </c>
      <c r="AK27">
        <v>3</v>
      </c>
      <c r="AM27" t="s">
        <v>88</v>
      </c>
      <c r="AN27" t="s">
        <v>254</v>
      </c>
      <c r="AO27">
        <v>62900000</v>
      </c>
      <c r="AQ27">
        <v>0</v>
      </c>
      <c r="AS27">
        <v>83</v>
      </c>
      <c r="AT27">
        <v>84</v>
      </c>
      <c r="AU27">
        <v>68</v>
      </c>
      <c r="AV27">
        <v>78</v>
      </c>
      <c r="AW27">
        <v>34</v>
      </c>
      <c r="AX27">
        <v>79</v>
      </c>
      <c r="AY27">
        <v>48</v>
      </c>
      <c r="AZ27">
        <v>86</v>
      </c>
      <c r="BA27">
        <v>85</v>
      </c>
      <c r="BB27">
        <v>79</v>
      </c>
      <c r="BC27">
        <v>67</v>
      </c>
      <c r="BD27">
        <v>79</v>
      </c>
      <c r="BE27">
        <v>63</v>
      </c>
      <c r="BF27">
        <v>58</v>
      </c>
      <c r="BG27">
        <v>69</v>
      </c>
      <c r="BH27">
        <v>79</v>
      </c>
      <c r="BI27">
        <v>80</v>
      </c>
      <c r="BJ27">
        <v>86</v>
      </c>
      <c r="BK27">
        <v>72</v>
      </c>
      <c r="BL27">
        <v>80</v>
      </c>
      <c r="BM27">
        <v>66</v>
      </c>
      <c r="BN27">
        <v>89</v>
      </c>
      <c r="BO27">
        <v>91</v>
      </c>
      <c r="BP27">
        <v>77</v>
      </c>
      <c r="BQ27">
        <v>80</v>
      </c>
      <c r="BR27">
        <v>78</v>
      </c>
      <c r="BS27">
        <v>74</v>
      </c>
      <c r="BT27">
        <v>25</v>
      </c>
      <c r="BU27">
        <v>85</v>
      </c>
      <c r="BV27">
        <v>72</v>
      </c>
      <c r="BW27">
        <v>84</v>
      </c>
      <c r="BX27">
        <v>83</v>
      </c>
      <c r="BY27">
        <v>32</v>
      </c>
      <c r="BZ27">
        <v>28</v>
      </c>
      <c r="CA27">
        <v>23</v>
      </c>
      <c r="CB27">
        <v>13</v>
      </c>
      <c r="CC27">
        <v>13</v>
      </c>
      <c r="CD27">
        <v>5</v>
      </c>
      <c r="CE27">
        <v>12</v>
      </c>
      <c r="CF27">
        <v>10</v>
      </c>
      <c r="CH27" t="s">
        <v>8</v>
      </c>
      <c r="CI27" t="s">
        <v>8</v>
      </c>
      <c r="CJ27" t="s">
        <v>8</v>
      </c>
      <c r="CK27" t="s">
        <v>43</v>
      </c>
      <c r="CL27" t="s">
        <v>36</v>
      </c>
      <c r="CM27" t="s">
        <v>36</v>
      </c>
      <c r="CN27" t="s">
        <v>36</v>
      </c>
      <c r="CO27" t="s">
        <v>43</v>
      </c>
      <c r="CP27" t="s">
        <v>7</v>
      </c>
      <c r="CQ27" t="s">
        <v>7</v>
      </c>
      <c r="CR27" t="s">
        <v>7</v>
      </c>
      <c r="CS27" t="s">
        <v>24</v>
      </c>
      <c r="CT27" t="s">
        <v>282</v>
      </c>
      <c r="CU27" t="s">
        <v>282</v>
      </c>
      <c r="CV27" t="s">
        <v>282</v>
      </c>
      <c r="CW27" t="s">
        <v>24</v>
      </c>
      <c r="CX27" t="s">
        <v>376</v>
      </c>
      <c r="CY27" t="s">
        <v>402</v>
      </c>
      <c r="CZ27" t="s">
        <v>402</v>
      </c>
      <c r="DA27" t="s">
        <v>402</v>
      </c>
      <c r="DB27" t="s">
        <v>376</v>
      </c>
      <c r="DC27" t="s">
        <v>319</v>
      </c>
      <c r="DD27" t="s">
        <v>459</v>
      </c>
      <c r="DE27" t="s">
        <v>459</v>
      </c>
      <c r="DF27" t="s">
        <v>459</v>
      </c>
      <c r="DG27" t="s">
        <v>319</v>
      </c>
      <c r="DH27" t="s">
        <v>27</v>
      </c>
      <c r="DI2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13.5713308</v>
      </c>
      <c r="DJ27" t="s">
        <v>460</v>
      </c>
      <c r="DK27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2.4943036099999998</v>
      </c>
      <c r="DL27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13.67512834159507</v>
      </c>
    </row>
    <row r="28" spans="1:116" x14ac:dyDescent="0.2">
      <c r="A28">
        <v>236610</v>
      </c>
      <c r="B28" t="s">
        <v>461</v>
      </c>
      <c r="C28">
        <v>26</v>
      </c>
      <c r="D28">
        <v>4</v>
      </c>
      <c r="E28" s="1">
        <v>45919</v>
      </c>
      <c r="F28" t="s">
        <v>462</v>
      </c>
      <c r="G28">
        <v>0</v>
      </c>
      <c r="H28">
        <v>0</v>
      </c>
      <c r="I28" t="s">
        <v>463</v>
      </c>
      <c r="J28" t="s">
        <v>34</v>
      </c>
      <c r="K28">
        <v>83</v>
      </c>
      <c r="L28">
        <v>86</v>
      </c>
      <c r="M28">
        <v>48500000</v>
      </c>
      <c r="N28">
        <v>74000</v>
      </c>
      <c r="O28">
        <v>25</v>
      </c>
      <c r="P28" s="1">
        <v>36584</v>
      </c>
      <c r="Q28">
        <v>183</v>
      </c>
      <c r="R28">
        <v>72</v>
      </c>
      <c r="S28">
        <v>31</v>
      </c>
      <c r="T28" t="s">
        <v>250</v>
      </c>
      <c r="U28">
        <v>1</v>
      </c>
      <c r="V28">
        <v>110374</v>
      </c>
      <c r="W28" t="s">
        <v>348</v>
      </c>
      <c r="X28" t="s">
        <v>136</v>
      </c>
      <c r="Y28">
        <v>20</v>
      </c>
      <c r="AA28" s="1">
        <v>45482</v>
      </c>
      <c r="AB28">
        <v>2029</v>
      </c>
      <c r="AC28">
        <v>27</v>
      </c>
      <c r="AD28" t="s">
        <v>267</v>
      </c>
      <c r="AE28">
        <v>1343</v>
      </c>
      <c r="AF28" t="s">
        <v>41</v>
      </c>
      <c r="AG28">
        <v>11</v>
      </c>
      <c r="AH28" t="s">
        <v>2</v>
      </c>
      <c r="AI28">
        <v>3</v>
      </c>
      <c r="AJ28">
        <v>3</v>
      </c>
      <c r="AK28">
        <v>3</v>
      </c>
      <c r="AM28" t="s">
        <v>3</v>
      </c>
      <c r="AN28" t="s">
        <v>254</v>
      </c>
      <c r="AO28">
        <v>86100000</v>
      </c>
      <c r="AQ28">
        <v>0</v>
      </c>
      <c r="AR28" t="s">
        <v>464</v>
      </c>
      <c r="AS28">
        <v>86</v>
      </c>
      <c r="AT28">
        <v>82</v>
      </c>
      <c r="AU28">
        <v>58</v>
      </c>
      <c r="AV28">
        <v>81</v>
      </c>
      <c r="AW28">
        <v>40</v>
      </c>
      <c r="AX28">
        <v>74</v>
      </c>
      <c r="AY28">
        <v>51</v>
      </c>
      <c r="AZ28">
        <v>88</v>
      </c>
      <c r="BA28">
        <v>83</v>
      </c>
      <c r="BB28">
        <v>68</v>
      </c>
      <c r="BC28">
        <v>72</v>
      </c>
      <c r="BD28">
        <v>82</v>
      </c>
      <c r="BE28">
        <v>69</v>
      </c>
      <c r="BF28">
        <v>48</v>
      </c>
      <c r="BG28">
        <v>46</v>
      </c>
      <c r="BH28">
        <v>83</v>
      </c>
      <c r="BI28">
        <v>84</v>
      </c>
      <c r="BJ28">
        <v>87</v>
      </c>
      <c r="BK28">
        <v>79</v>
      </c>
      <c r="BL28">
        <v>78</v>
      </c>
      <c r="BM28">
        <v>79</v>
      </c>
      <c r="BN28">
        <v>87</v>
      </c>
      <c r="BO28">
        <v>89</v>
      </c>
      <c r="BP28">
        <v>82</v>
      </c>
      <c r="BQ28">
        <v>72</v>
      </c>
      <c r="BR28">
        <v>69</v>
      </c>
      <c r="BS28">
        <v>65</v>
      </c>
      <c r="BT28">
        <v>31</v>
      </c>
      <c r="BU28">
        <v>86</v>
      </c>
      <c r="BV28">
        <v>58</v>
      </c>
      <c r="BW28">
        <v>65</v>
      </c>
      <c r="BX28">
        <v>77</v>
      </c>
      <c r="BY28">
        <v>40</v>
      </c>
      <c r="BZ28">
        <v>36</v>
      </c>
      <c r="CA28">
        <v>30</v>
      </c>
      <c r="CB28">
        <v>13</v>
      </c>
      <c r="CC28">
        <v>8</v>
      </c>
      <c r="CD28">
        <v>10</v>
      </c>
      <c r="CE28">
        <v>7</v>
      </c>
      <c r="CF28">
        <v>9</v>
      </c>
      <c r="CH28" t="s">
        <v>259</v>
      </c>
      <c r="CI28" t="s">
        <v>259</v>
      </c>
      <c r="CJ28" t="s">
        <v>259</v>
      </c>
      <c r="CK28" t="s">
        <v>43</v>
      </c>
      <c r="CL28" t="s">
        <v>35</v>
      </c>
      <c r="CM28" t="s">
        <v>35</v>
      </c>
      <c r="CN28" t="s">
        <v>35</v>
      </c>
      <c r="CO28" t="s">
        <v>43</v>
      </c>
      <c r="CP28" t="s">
        <v>25</v>
      </c>
      <c r="CQ28" t="s">
        <v>25</v>
      </c>
      <c r="CR28" t="s">
        <v>25</v>
      </c>
      <c r="CS28" t="s">
        <v>25</v>
      </c>
      <c r="CT28" t="s">
        <v>20</v>
      </c>
      <c r="CU28" t="s">
        <v>20</v>
      </c>
      <c r="CV28" t="s">
        <v>20</v>
      </c>
      <c r="CW28" t="s">
        <v>25</v>
      </c>
      <c r="CX28" t="s">
        <v>383</v>
      </c>
      <c r="CY28" t="s">
        <v>452</v>
      </c>
      <c r="CZ28" t="s">
        <v>452</v>
      </c>
      <c r="DA28" t="s">
        <v>452</v>
      </c>
      <c r="DB28" t="s">
        <v>383</v>
      </c>
      <c r="DC28" t="s">
        <v>402</v>
      </c>
      <c r="DD28" t="s">
        <v>465</v>
      </c>
      <c r="DE28" t="s">
        <v>465</v>
      </c>
      <c r="DF28" t="s">
        <v>465</v>
      </c>
      <c r="DG28" t="s">
        <v>402</v>
      </c>
      <c r="DH28" t="s">
        <v>46</v>
      </c>
      <c r="DI2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13.092243699999996</v>
      </c>
      <c r="DJ28" t="s">
        <v>466</v>
      </c>
      <c r="DK28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2.0772011764062501</v>
      </c>
      <c r="DL28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13.21023226247905</v>
      </c>
    </row>
    <row r="29" spans="1:116" x14ac:dyDescent="0.2">
      <c r="A29">
        <v>244263</v>
      </c>
      <c r="B29" t="s">
        <v>467</v>
      </c>
      <c r="C29">
        <v>26</v>
      </c>
      <c r="D29">
        <v>4</v>
      </c>
      <c r="E29" s="1">
        <v>45919</v>
      </c>
      <c r="F29" t="s">
        <v>468</v>
      </c>
      <c r="G29">
        <v>1</v>
      </c>
      <c r="H29">
        <v>0</v>
      </c>
      <c r="I29" t="s">
        <v>469</v>
      </c>
      <c r="J29" t="s">
        <v>71</v>
      </c>
      <c r="K29">
        <v>83</v>
      </c>
      <c r="L29">
        <v>83</v>
      </c>
      <c r="M29">
        <v>25000000</v>
      </c>
      <c r="N29">
        <v>120000</v>
      </c>
      <c r="O29">
        <v>31</v>
      </c>
      <c r="P29" s="1">
        <v>34389</v>
      </c>
      <c r="Q29">
        <v>192</v>
      </c>
      <c r="R29">
        <v>75</v>
      </c>
      <c r="S29">
        <v>31</v>
      </c>
      <c r="T29" t="s">
        <v>250</v>
      </c>
      <c r="U29">
        <v>1</v>
      </c>
      <c r="V29">
        <v>48</v>
      </c>
      <c r="W29" t="s">
        <v>278</v>
      </c>
      <c r="X29" t="s">
        <v>47</v>
      </c>
      <c r="Y29">
        <v>13</v>
      </c>
      <c r="AA29" s="1">
        <v>43850</v>
      </c>
      <c r="AB29">
        <v>2027</v>
      </c>
      <c r="AC29">
        <v>219</v>
      </c>
      <c r="AD29" t="s">
        <v>470</v>
      </c>
      <c r="AH29" t="s">
        <v>2</v>
      </c>
      <c r="AI29">
        <v>4</v>
      </c>
      <c r="AJ29">
        <v>2</v>
      </c>
      <c r="AK29">
        <v>3</v>
      </c>
      <c r="AM29" t="s">
        <v>88</v>
      </c>
      <c r="AN29" t="s">
        <v>254</v>
      </c>
      <c r="AO29">
        <v>42500000</v>
      </c>
      <c r="AQ29">
        <v>0</v>
      </c>
      <c r="AR29" t="s">
        <v>471</v>
      </c>
      <c r="AS29">
        <v>69</v>
      </c>
      <c r="AT29">
        <v>51</v>
      </c>
      <c r="AU29">
        <v>60</v>
      </c>
      <c r="AV29">
        <v>63</v>
      </c>
      <c r="AW29">
        <v>84</v>
      </c>
      <c r="AX29">
        <v>78</v>
      </c>
      <c r="AY29">
        <v>49</v>
      </c>
      <c r="AZ29">
        <v>43</v>
      </c>
      <c r="BA29">
        <v>81</v>
      </c>
      <c r="BB29">
        <v>74</v>
      </c>
      <c r="BC29">
        <v>39</v>
      </c>
      <c r="BD29">
        <v>59</v>
      </c>
      <c r="BE29">
        <v>49</v>
      </c>
      <c r="BF29">
        <v>41</v>
      </c>
      <c r="BG29">
        <v>68</v>
      </c>
      <c r="BH29">
        <v>71</v>
      </c>
      <c r="BI29">
        <v>54</v>
      </c>
      <c r="BJ29">
        <v>82</v>
      </c>
      <c r="BK29">
        <v>48</v>
      </c>
      <c r="BL29">
        <v>80</v>
      </c>
      <c r="BM29">
        <v>52</v>
      </c>
      <c r="BN29">
        <v>60</v>
      </c>
      <c r="BO29">
        <v>81</v>
      </c>
      <c r="BP29">
        <v>71</v>
      </c>
      <c r="BQ29">
        <v>80</v>
      </c>
      <c r="BR29">
        <v>66</v>
      </c>
      <c r="BS29">
        <v>81</v>
      </c>
      <c r="BT29">
        <v>85</v>
      </c>
      <c r="BU29">
        <v>49</v>
      </c>
      <c r="BV29">
        <v>48</v>
      </c>
      <c r="BW29">
        <v>34</v>
      </c>
      <c r="BX29">
        <v>70</v>
      </c>
      <c r="BY29">
        <v>87</v>
      </c>
      <c r="BZ29">
        <v>82</v>
      </c>
      <c r="CA29">
        <v>80</v>
      </c>
      <c r="CB29">
        <v>12</v>
      </c>
      <c r="CC29">
        <v>8</v>
      </c>
      <c r="CD29">
        <v>13</v>
      </c>
      <c r="CE29">
        <v>8</v>
      </c>
      <c r="CF29">
        <v>7</v>
      </c>
      <c r="CH29" t="s">
        <v>318</v>
      </c>
      <c r="CI29" t="s">
        <v>318</v>
      </c>
      <c r="CJ29" t="s">
        <v>318</v>
      </c>
      <c r="CK29" t="s">
        <v>117</v>
      </c>
      <c r="CL29" t="s">
        <v>126</v>
      </c>
      <c r="CM29" t="s">
        <v>126</v>
      </c>
      <c r="CN29" t="s">
        <v>126</v>
      </c>
      <c r="CO29" t="s">
        <v>117</v>
      </c>
      <c r="CP29" t="s">
        <v>12</v>
      </c>
      <c r="CQ29" t="s">
        <v>12</v>
      </c>
      <c r="CR29" t="s">
        <v>12</v>
      </c>
      <c r="CS29" t="s">
        <v>12</v>
      </c>
      <c r="CT29" t="s">
        <v>20</v>
      </c>
      <c r="CU29" t="s">
        <v>20</v>
      </c>
      <c r="CV29" t="s">
        <v>20</v>
      </c>
      <c r="CW29" t="s">
        <v>12</v>
      </c>
      <c r="CX29" t="s">
        <v>23</v>
      </c>
      <c r="CY29" t="s">
        <v>30</v>
      </c>
      <c r="CZ29" t="s">
        <v>30</v>
      </c>
      <c r="DA29" t="s">
        <v>30</v>
      </c>
      <c r="DB29" t="s">
        <v>23</v>
      </c>
      <c r="DC29" t="s">
        <v>24</v>
      </c>
      <c r="DD29" t="s">
        <v>426</v>
      </c>
      <c r="DE29" t="s">
        <v>426</v>
      </c>
      <c r="DF29" t="s">
        <v>426</v>
      </c>
      <c r="DG29" t="s">
        <v>24</v>
      </c>
      <c r="DH29" t="s">
        <v>46</v>
      </c>
      <c r="DI2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12.921165499999999</v>
      </c>
      <c r="DJ29" t="s">
        <v>472</v>
      </c>
      <c r="DK29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1.8791566025000002</v>
      </c>
      <c r="DL29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12.974949092389668</v>
      </c>
    </row>
    <row r="30" spans="1:116" x14ac:dyDescent="0.2">
      <c r="A30">
        <v>229582</v>
      </c>
      <c r="B30" t="s">
        <v>473</v>
      </c>
      <c r="C30">
        <v>26</v>
      </c>
      <c r="D30">
        <v>4</v>
      </c>
      <c r="E30" s="1">
        <v>45919</v>
      </c>
      <c r="F30" t="s">
        <v>474</v>
      </c>
      <c r="G30">
        <v>1</v>
      </c>
      <c r="H30">
        <v>0</v>
      </c>
      <c r="I30" t="s">
        <v>475</v>
      </c>
      <c r="J30" t="s">
        <v>71</v>
      </c>
      <c r="K30">
        <v>83</v>
      </c>
      <c r="L30">
        <v>83</v>
      </c>
      <c r="M30">
        <v>30500000</v>
      </c>
      <c r="N30">
        <v>75000</v>
      </c>
      <c r="O30">
        <v>29</v>
      </c>
      <c r="P30" s="1">
        <v>35172</v>
      </c>
      <c r="Q30">
        <v>190</v>
      </c>
      <c r="R30">
        <v>77</v>
      </c>
      <c r="S30">
        <v>31</v>
      </c>
      <c r="T30" t="s">
        <v>250</v>
      </c>
      <c r="U30">
        <v>1</v>
      </c>
      <c r="V30">
        <v>52</v>
      </c>
      <c r="W30" t="s">
        <v>313</v>
      </c>
      <c r="X30" t="s">
        <v>71</v>
      </c>
      <c r="Y30">
        <v>23</v>
      </c>
      <c r="AA30" s="1">
        <v>44013</v>
      </c>
      <c r="AB30">
        <v>2027</v>
      </c>
      <c r="AC30">
        <v>27</v>
      </c>
      <c r="AD30" t="s">
        <v>267</v>
      </c>
      <c r="AE30">
        <v>1343</v>
      </c>
      <c r="AF30" t="s">
        <v>110</v>
      </c>
      <c r="AG30">
        <v>23</v>
      </c>
      <c r="AH30" t="s">
        <v>2</v>
      </c>
      <c r="AI30">
        <v>3</v>
      </c>
      <c r="AJ30">
        <v>2</v>
      </c>
      <c r="AK30">
        <v>3</v>
      </c>
      <c r="AM30" t="s">
        <v>88</v>
      </c>
      <c r="AN30" t="s">
        <v>254</v>
      </c>
      <c r="AO30">
        <v>51900000</v>
      </c>
      <c r="AQ30">
        <v>0</v>
      </c>
      <c r="AR30" t="s">
        <v>476</v>
      </c>
      <c r="AS30">
        <v>70</v>
      </c>
      <c r="AT30">
        <v>50</v>
      </c>
      <c r="AU30">
        <v>57</v>
      </c>
      <c r="AV30">
        <v>64</v>
      </c>
      <c r="AW30">
        <v>85</v>
      </c>
      <c r="AX30">
        <v>82</v>
      </c>
      <c r="AY30">
        <v>34</v>
      </c>
      <c r="AZ30">
        <v>48</v>
      </c>
      <c r="BA30">
        <v>84</v>
      </c>
      <c r="BB30">
        <v>70</v>
      </c>
      <c r="BC30">
        <v>40</v>
      </c>
      <c r="BD30">
        <v>59</v>
      </c>
      <c r="BE30">
        <v>38</v>
      </c>
      <c r="BF30">
        <v>34</v>
      </c>
      <c r="BG30">
        <v>72</v>
      </c>
      <c r="BH30">
        <v>76</v>
      </c>
      <c r="BI30">
        <v>65</v>
      </c>
      <c r="BJ30">
        <v>74</v>
      </c>
      <c r="BK30">
        <v>35</v>
      </c>
      <c r="BL30">
        <v>85</v>
      </c>
      <c r="BM30">
        <v>58</v>
      </c>
      <c r="BN30">
        <v>51</v>
      </c>
      <c r="BO30">
        <v>85</v>
      </c>
      <c r="BP30">
        <v>84</v>
      </c>
      <c r="BQ30">
        <v>79</v>
      </c>
      <c r="BR30">
        <v>58</v>
      </c>
      <c r="BS30">
        <v>87</v>
      </c>
      <c r="BT30">
        <v>85</v>
      </c>
      <c r="BU30">
        <v>36</v>
      </c>
      <c r="BV30">
        <v>56</v>
      </c>
      <c r="BW30">
        <v>47</v>
      </c>
      <c r="BX30">
        <v>83</v>
      </c>
      <c r="BY30">
        <v>87</v>
      </c>
      <c r="BZ30">
        <v>84</v>
      </c>
      <c r="CA30">
        <v>78</v>
      </c>
      <c r="CB30">
        <v>13</v>
      </c>
      <c r="CC30">
        <v>12</v>
      </c>
      <c r="CD30">
        <v>8</v>
      </c>
      <c r="CE30">
        <v>6</v>
      </c>
      <c r="CF30">
        <v>8</v>
      </c>
      <c r="CH30" t="s">
        <v>12</v>
      </c>
      <c r="CI30" t="s">
        <v>12</v>
      </c>
      <c r="CJ30" t="s">
        <v>12</v>
      </c>
      <c r="CK30" t="s">
        <v>125</v>
      </c>
      <c r="CL30" t="s">
        <v>126</v>
      </c>
      <c r="CM30" t="s">
        <v>126</v>
      </c>
      <c r="CN30" t="s">
        <v>126</v>
      </c>
      <c r="CO30" t="s">
        <v>125</v>
      </c>
      <c r="CP30" t="s">
        <v>12</v>
      </c>
      <c r="CQ30" t="s">
        <v>12</v>
      </c>
      <c r="CR30" t="s">
        <v>12</v>
      </c>
      <c r="CS30" t="s">
        <v>12</v>
      </c>
      <c r="CT30" t="s">
        <v>283</v>
      </c>
      <c r="CU30" t="s">
        <v>283</v>
      </c>
      <c r="CV30" t="s">
        <v>283</v>
      </c>
      <c r="CW30" t="s">
        <v>12</v>
      </c>
      <c r="CX30" t="s">
        <v>29</v>
      </c>
      <c r="CY30" t="s">
        <v>7</v>
      </c>
      <c r="CZ30" t="s">
        <v>7</v>
      </c>
      <c r="DA30" t="s">
        <v>7</v>
      </c>
      <c r="DB30" t="s">
        <v>29</v>
      </c>
      <c r="DC30" t="s">
        <v>24</v>
      </c>
      <c r="DD30" t="s">
        <v>8</v>
      </c>
      <c r="DE30" t="s">
        <v>8</v>
      </c>
      <c r="DF30" t="s">
        <v>8</v>
      </c>
      <c r="DG30" t="s">
        <v>24</v>
      </c>
      <c r="DH30" t="s">
        <v>293</v>
      </c>
      <c r="DI3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12.775183699999999</v>
      </c>
      <c r="DJ30" t="s">
        <v>477</v>
      </c>
      <c r="DK30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1.8615244900000001</v>
      </c>
      <c r="DL30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12.87761497045963</v>
      </c>
    </row>
    <row r="31" spans="1:116" x14ac:dyDescent="0.2">
      <c r="A31">
        <v>236496</v>
      </c>
      <c r="B31" t="s">
        <v>478</v>
      </c>
      <c r="C31">
        <v>26</v>
      </c>
      <c r="D31">
        <v>4</v>
      </c>
      <c r="E31" s="1">
        <v>45919</v>
      </c>
      <c r="F31" t="s">
        <v>479</v>
      </c>
      <c r="G31">
        <v>0</v>
      </c>
      <c r="H31">
        <v>1</v>
      </c>
      <c r="I31" t="s">
        <v>480</v>
      </c>
      <c r="J31" t="s">
        <v>76</v>
      </c>
      <c r="K31">
        <v>82</v>
      </c>
      <c r="L31">
        <v>85</v>
      </c>
      <c r="M31">
        <v>36000000</v>
      </c>
      <c r="N31">
        <v>44000</v>
      </c>
      <c r="O31">
        <v>26</v>
      </c>
      <c r="P31" s="1">
        <v>36264</v>
      </c>
      <c r="Q31">
        <v>185</v>
      </c>
      <c r="R31">
        <v>68</v>
      </c>
      <c r="S31">
        <v>31</v>
      </c>
      <c r="T31" t="s">
        <v>250</v>
      </c>
      <c r="U31">
        <v>1</v>
      </c>
      <c r="V31">
        <v>46</v>
      </c>
      <c r="W31" t="s">
        <v>365</v>
      </c>
      <c r="X31" t="s">
        <v>101</v>
      </c>
      <c r="Y31">
        <v>8</v>
      </c>
      <c r="AA31" s="1">
        <v>45474</v>
      </c>
      <c r="AB31">
        <v>2028</v>
      </c>
      <c r="AC31">
        <v>18</v>
      </c>
      <c r="AD31" t="s">
        <v>296</v>
      </c>
      <c r="AE31">
        <v>1335</v>
      </c>
      <c r="AF31" t="s">
        <v>110</v>
      </c>
      <c r="AG31">
        <v>6</v>
      </c>
      <c r="AH31" t="s">
        <v>2</v>
      </c>
      <c r="AI31">
        <v>3</v>
      </c>
      <c r="AJ31">
        <v>4</v>
      </c>
      <c r="AK31">
        <v>3</v>
      </c>
      <c r="AM31" t="s">
        <v>127</v>
      </c>
      <c r="AN31" t="s">
        <v>254</v>
      </c>
      <c r="AO31">
        <v>63900000</v>
      </c>
      <c r="AQ31">
        <v>0</v>
      </c>
      <c r="AR31" t="s">
        <v>481</v>
      </c>
      <c r="AS31">
        <v>72</v>
      </c>
      <c r="AT31">
        <v>73</v>
      </c>
      <c r="AU31">
        <v>80</v>
      </c>
      <c r="AV31">
        <v>80</v>
      </c>
      <c r="AW31">
        <v>77</v>
      </c>
      <c r="AX31">
        <v>77</v>
      </c>
      <c r="AY31">
        <v>71</v>
      </c>
      <c r="AZ31">
        <v>73</v>
      </c>
      <c r="BA31">
        <v>69</v>
      </c>
      <c r="BB31">
        <v>85</v>
      </c>
      <c r="BC31">
        <v>64</v>
      </c>
      <c r="BD31">
        <v>78</v>
      </c>
      <c r="BE31">
        <v>75</v>
      </c>
      <c r="BF31">
        <v>67</v>
      </c>
      <c r="BG31">
        <v>81</v>
      </c>
      <c r="BH31">
        <v>84</v>
      </c>
      <c r="BI31">
        <v>69</v>
      </c>
      <c r="BJ31">
        <v>74</v>
      </c>
      <c r="BK31">
        <v>83</v>
      </c>
      <c r="BL31">
        <v>81</v>
      </c>
      <c r="BM31">
        <v>71</v>
      </c>
      <c r="BN31">
        <v>75</v>
      </c>
      <c r="BO31">
        <v>73</v>
      </c>
      <c r="BP31">
        <v>90</v>
      </c>
      <c r="BQ31">
        <v>67</v>
      </c>
      <c r="BR31">
        <v>75</v>
      </c>
      <c r="BS31">
        <v>86</v>
      </c>
      <c r="BT31">
        <v>80</v>
      </c>
      <c r="BU31">
        <v>74</v>
      </c>
      <c r="BV31">
        <v>83</v>
      </c>
      <c r="BW31">
        <v>70</v>
      </c>
      <c r="BX31">
        <v>82</v>
      </c>
      <c r="BY31">
        <v>76</v>
      </c>
      <c r="BZ31">
        <v>79</v>
      </c>
      <c r="CA31">
        <v>72</v>
      </c>
      <c r="CB31">
        <v>6</v>
      </c>
      <c r="CC31">
        <v>13</v>
      </c>
      <c r="CD31">
        <v>6</v>
      </c>
      <c r="CE31">
        <v>13</v>
      </c>
      <c r="CF31">
        <v>11</v>
      </c>
      <c r="CH31" t="s">
        <v>25</v>
      </c>
      <c r="CI31" t="s">
        <v>25</v>
      </c>
      <c r="CJ31" t="s">
        <v>25</v>
      </c>
      <c r="CK31" t="s">
        <v>66</v>
      </c>
      <c r="CL31" t="s">
        <v>66</v>
      </c>
      <c r="CM31" t="s">
        <v>66</v>
      </c>
      <c r="CN31" t="s">
        <v>66</v>
      </c>
      <c r="CO31" t="s">
        <v>66</v>
      </c>
      <c r="CP31" t="s">
        <v>269</v>
      </c>
      <c r="CQ31" t="s">
        <v>269</v>
      </c>
      <c r="CR31" t="s">
        <v>269</v>
      </c>
      <c r="CS31" t="s">
        <v>7</v>
      </c>
      <c r="CT31" t="s">
        <v>260</v>
      </c>
      <c r="CU31" t="s">
        <v>260</v>
      </c>
      <c r="CV31" t="s">
        <v>260</v>
      </c>
      <c r="CW31" t="s">
        <v>7</v>
      </c>
      <c r="CX31" t="s">
        <v>7</v>
      </c>
      <c r="CY31" t="s">
        <v>305</v>
      </c>
      <c r="CZ31" t="s">
        <v>305</v>
      </c>
      <c r="DA31" t="s">
        <v>305</v>
      </c>
      <c r="DB31" t="s">
        <v>7</v>
      </c>
      <c r="DC31" t="s">
        <v>10</v>
      </c>
      <c r="DD31" t="s">
        <v>30</v>
      </c>
      <c r="DE31" t="s">
        <v>30</v>
      </c>
      <c r="DF31" t="s">
        <v>30</v>
      </c>
      <c r="DG31" t="s">
        <v>10</v>
      </c>
      <c r="DH31" t="s">
        <v>293</v>
      </c>
      <c r="DI3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13.0417936</v>
      </c>
      <c r="DJ31" t="s">
        <v>482</v>
      </c>
      <c r="DK31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2.98792225</v>
      </c>
      <c r="DL31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13.117715595960751</v>
      </c>
    </row>
    <row r="32" spans="1:116" x14ac:dyDescent="0.2">
      <c r="A32">
        <v>227236</v>
      </c>
      <c r="B32" t="s">
        <v>483</v>
      </c>
      <c r="C32">
        <v>26</v>
      </c>
      <c r="D32">
        <v>4</v>
      </c>
      <c r="E32" s="1">
        <v>45919</v>
      </c>
      <c r="F32" t="s">
        <v>484</v>
      </c>
      <c r="G32">
        <v>0</v>
      </c>
      <c r="H32">
        <v>1</v>
      </c>
      <c r="I32" t="s">
        <v>485</v>
      </c>
      <c r="J32" t="s">
        <v>100</v>
      </c>
      <c r="K32">
        <v>82</v>
      </c>
      <c r="L32">
        <v>82</v>
      </c>
      <c r="M32">
        <v>29500000</v>
      </c>
      <c r="N32">
        <v>115000</v>
      </c>
      <c r="O32">
        <v>29</v>
      </c>
      <c r="P32" s="1">
        <v>35019</v>
      </c>
      <c r="Q32">
        <v>184</v>
      </c>
      <c r="R32">
        <v>83</v>
      </c>
      <c r="S32">
        <v>31</v>
      </c>
      <c r="T32" t="s">
        <v>250</v>
      </c>
      <c r="U32">
        <v>1</v>
      </c>
      <c r="V32">
        <v>48</v>
      </c>
      <c r="W32" t="s">
        <v>278</v>
      </c>
      <c r="X32" t="s">
        <v>101</v>
      </c>
      <c r="Y32">
        <v>99</v>
      </c>
      <c r="AA32" s="1">
        <v>44743</v>
      </c>
      <c r="AB32">
        <v>2027</v>
      </c>
      <c r="AC32">
        <v>103</v>
      </c>
      <c r="AD32" t="s">
        <v>486</v>
      </c>
      <c r="AH32" t="s">
        <v>2</v>
      </c>
      <c r="AI32">
        <v>3</v>
      </c>
      <c r="AJ32">
        <v>3</v>
      </c>
      <c r="AK32">
        <v>3</v>
      </c>
      <c r="AM32" t="s">
        <v>3</v>
      </c>
      <c r="AN32" t="s">
        <v>254</v>
      </c>
      <c r="AO32">
        <v>50200000</v>
      </c>
      <c r="AQ32">
        <v>0</v>
      </c>
      <c r="AR32" t="s">
        <v>487</v>
      </c>
      <c r="AS32">
        <v>75</v>
      </c>
      <c r="AT32">
        <v>75</v>
      </c>
      <c r="AU32">
        <v>75</v>
      </c>
      <c r="AV32">
        <v>79</v>
      </c>
      <c r="AW32">
        <v>79</v>
      </c>
      <c r="AX32">
        <v>85</v>
      </c>
      <c r="AY32">
        <v>62</v>
      </c>
      <c r="AZ32">
        <v>76</v>
      </c>
      <c r="BA32">
        <v>76</v>
      </c>
      <c r="BB32">
        <v>83</v>
      </c>
      <c r="BC32">
        <v>58</v>
      </c>
      <c r="BD32">
        <v>79</v>
      </c>
      <c r="BE32">
        <v>59</v>
      </c>
      <c r="BF32">
        <v>56</v>
      </c>
      <c r="BG32">
        <v>80</v>
      </c>
      <c r="BH32">
        <v>82</v>
      </c>
      <c r="BI32">
        <v>74</v>
      </c>
      <c r="BJ32">
        <v>76</v>
      </c>
      <c r="BK32">
        <v>74</v>
      </c>
      <c r="BL32">
        <v>84</v>
      </c>
      <c r="BM32">
        <v>71</v>
      </c>
      <c r="BN32">
        <v>75</v>
      </c>
      <c r="BO32">
        <v>87</v>
      </c>
      <c r="BP32">
        <v>89</v>
      </c>
      <c r="BQ32">
        <v>82</v>
      </c>
      <c r="BR32">
        <v>78</v>
      </c>
      <c r="BS32">
        <v>85</v>
      </c>
      <c r="BT32">
        <v>80</v>
      </c>
      <c r="BU32">
        <v>82</v>
      </c>
      <c r="BV32">
        <v>80</v>
      </c>
      <c r="BW32">
        <v>60</v>
      </c>
      <c r="BX32">
        <v>80</v>
      </c>
      <c r="BY32">
        <v>79</v>
      </c>
      <c r="BZ32">
        <v>80</v>
      </c>
      <c r="CA32">
        <v>74</v>
      </c>
      <c r="CB32">
        <v>11</v>
      </c>
      <c r="CC32">
        <v>11</v>
      </c>
      <c r="CD32">
        <v>9</v>
      </c>
      <c r="CE32">
        <v>8</v>
      </c>
      <c r="CF32">
        <v>11</v>
      </c>
      <c r="CH32" t="s">
        <v>10</v>
      </c>
      <c r="CI32" t="s">
        <v>10</v>
      </c>
      <c r="CJ32" t="s">
        <v>10</v>
      </c>
      <c r="CK32" t="s">
        <v>66</v>
      </c>
      <c r="CL32" t="s">
        <v>35</v>
      </c>
      <c r="CM32" t="s">
        <v>35</v>
      </c>
      <c r="CN32" t="s">
        <v>35</v>
      </c>
      <c r="CO32" t="s">
        <v>66</v>
      </c>
      <c r="CP32" t="s">
        <v>488</v>
      </c>
      <c r="CQ32" t="s">
        <v>488</v>
      </c>
      <c r="CR32" t="s">
        <v>488</v>
      </c>
      <c r="CS32" t="s">
        <v>7</v>
      </c>
      <c r="CT32" t="s">
        <v>9</v>
      </c>
      <c r="CU32" t="s">
        <v>9</v>
      </c>
      <c r="CV32" t="s">
        <v>9</v>
      </c>
      <c r="CW32" t="s">
        <v>7</v>
      </c>
      <c r="CX32" t="s">
        <v>10</v>
      </c>
      <c r="CY32" t="s">
        <v>16</v>
      </c>
      <c r="CZ32" t="s">
        <v>16</v>
      </c>
      <c r="DA32" t="s">
        <v>16</v>
      </c>
      <c r="DB32" t="s">
        <v>10</v>
      </c>
      <c r="DC32" t="s">
        <v>10</v>
      </c>
      <c r="DD32" t="s">
        <v>488</v>
      </c>
      <c r="DE32" t="s">
        <v>488</v>
      </c>
      <c r="DF32" t="s">
        <v>488</v>
      </c>
      <c r="DG32" t="s">
        <v>10</v>
      </c>
      <c r="DH32" t="s">
        <v>293</v>
      </c>
      <c r="DI3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13.4914998</v>
      </c>
      <c r="DJ32" t="s">
        <v>489</v>
      </c>
      <c r="DK32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2.7361865624999999</v>
      </c>
      <c r="DL32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13.604046202512189</v>
      </c>
    </row>
    <row r="33" spans="1:116" x14ac:dyDescent="0.2">
      <c r="A33">
        <v>266866</v>
      </c>
      <c r="B33" t="s">
        <v>490</v>
      </c>
      <c r="C33">
        <v>26</v>
      </c>
      <c r="D33">
        <v>4</v>
      </c>
      <c r="E33" s="1">
        <v>45919</v>
      </c>
      <c r="F33" t="s">
        <v>491</v>
      </c>
      <c r="G33">
        <v>0</v>
      </c>
      <c r="H33">
        <v>1</v>
      </c>
      <c r="I33" t="s">
        <v>492</v>
      </c>
      <c r="J33" t="s">
        <v>266</v>
      </c>
      <c r="K33">
        <v>82</v>
      </c>
      <c r="L33">
        <v>85</v>
      </c>
      <c r="M33">
        <v>40000000</v>
      </c>
      <c r="N33">
        <v>77000</v>
      </c>
      <c r="O33">
        <v>25</v>
      </c>
      <c r="P33" s="1">
        <v>36348</v>
      </c>
      <c r="Q33">
        <v>182</v>
      </c>
      <c r="R33">
        <v>86</v>
      </c>
      <c r="S33">
        <v>31</v>
      </c>
      <c r="T33" t="s">
        <v>250</v>
      </c>
      <c r="U33">
        <v>1</v>
      </c>
      <c r="V33">
        <v>39</v>
      </c>
      <c r="W33" t="s">
        <v>396</v>
      </c>
      <c r="X33" t="s">
        <v>110</v>
      </c>
      <c r="Y33">
        <v>13</v>
      </c>
      <c r="AA33" s="1">
        <v>44748</v>
      </c>
      <c r="AB33">
        <v>2027</v>
      </c>
      <c r="AC33">
        <v>54</v>
      </c>
      <c r="AD33" t="s">
        <v>1</v>
      </c>
      <c r="AH33" t="s">
        <v>2</v>
      </c>
      <c r="AI33">
        <v>3</v>
      </c>
      <c r="AJ33">
        <v>3</v>
      </c>
      <c r="AK33">
        <v>3</v>
      </c>
      <c r="AM33" t="s">
        <v>3</v>
      </c>
      <c r="AN33" t="s">
        <v>4</v>
      </c>
      <c r="AO33">
        <v>71000000</v>
      </c>
      <c r="AQ33">
        <v>0</v>
      </c>
      <c r="AR33" t="s">
        <v>493</v>
      </c>
      <c r="AS33">
        <v>78</v>
      </c>
      <c r="AT33">
        <v>72</v>
      </c>
      <c r="AU33">
        <v>77</v>
      </c>
      <c r="AV33">
        <v>80</v>
      </c>
      <c r="AW33">
        <v>80</v>
      </c>
      <c r="AX33">
        <v>81</v>
      </c>
      <c r="AY33">
        <v>70</v>
      </c>
      <c r="AZ33">
        <v>72</v>
      </c>
      <c r="BA33">
        <v>65</v>
      </c>
      <c r="BB33">
        <v>84</v>
      </c>
      <c r="BC33">
        <v>59</v>
      </c>
      <c r="BD33">
        <v>81</v>
      </c>
      <c r="BE33">
        <v>65</v>
      </c>
      <c r="BF33">
        <v>50</v>
      </c>
      <c r="BG33">
        <v>82</v>
      </c>
      <c r="BH33">
        <v>84</v>
      </c>
      <c r="BI33">
        <v>78</v>
      </c>
      <c r="BJ33">
        <v>78</v>
      </c>
      <c r="BK33">
        <v>69</v>
      </c>
      <c r="BL33">
        <v>80</v>
      </c>
      <c r="BM33">
        <v>66</v>
      </c>
      <c r="BN33">
        <v>78</v>
      </c>
      <c r="BO33">
        <v>80</v>
      </c>
      <c r="BP33">
        <v>89</v>
      </c>
      <c r="BQ33">
        <v>77</v>
      </c>
      <c r="BR33">
        <v>70</v>
      </c>
      <c r="BS33">
        <v>80</v>
      </c>
      <c r="BT33">
        <v>83</v>
      </c>
      <c r="BU33">
        <v>74</v>
      </c>
      <c r="BV33">
        <v>80</v>
      </c>
      <c r="BW33">
        <v>57</v>
      </c>
      <c r="BX33">
        <v>84</v>
      </c>
      <c r="BY33">
        <v>80</v>
      </c>
      <c r="BZ33">
        <v>84</v>
      </c>
      <c r="CA33">
        <v>75</v>
      </c>
      <c r="CB33">
        <v>14</v>
      </c>
      <c r="CC33">
        <v>10</v>
      </c>
      <c r="CD33">
        <v>12</v>
      </c>
      <c r="CE33">
        <v>13</v>
      </c>
      <c r="CF33">
        <v>13</v>
      </c>
      <c r="CH33" t="s">
        <v>24</v>
      </c>
      <c r="CI33" t="s">
        <v>24</v>
      </c>
      <c r="CJ33" t="s">
        <v>24</v>
      </c>
      <c r="CK33" t="s">
        <v>66</v>
      </c>
      <c r="CL33" t="s">
        <v>66</v>
      </c>
      <c r="CM33" t="s">
        <v>66</v>
      </c>
      <c r="CN33" t="s">
        <v>66</v>
      </c>
      <c r="CO33" t="s">
        <v>66</v>
      </c>
      <c r="CP33" t="s">
        <v>7</v>
      </c>
      <c r="CQ33" t="s">
        <v>7</v>
      </c>
      <c r="CR33" t="s">
        <v>7</v>
      </c>
      <c r="CS33" t="s">
        <v>7</v>
      </c>
      <c r="CT33" t="s">
        <v>260</v>
      </c>
      <c r="CU33" t="s">
        <v>260</v>
      </c>
      <c r="CV33" t="s">
        <v>260</v>
      </c>
      <c r="CW33" t="s">
        <v>7</v>
      </c>
      <c r="CX33" t="s">
        <v>269</v>
      </c>
      <c r="CY33" t="s">
        <v>260</v>
      </c>
      <c r="CZ33" t="s">
        <v>260</v>
      </c>
      <c r="DA33" t="s">
        <v>260</v>
      </c>
      <c r="DB33" t="s">
        <v>269</v>
      </c>
      <c r="DC33" t="s">
        <v>269</v>
      </c>
      <c r="DD33" t="s">
        <v>7</v>
      </c>
      <c r="DE33" t="s">
        <v>7</v>
      </c>
      <c r="DF33" t="s">
        <v>7</v>
      </c>
      <c r="DG33" t="s">
        <v>269</v>
      </c>
      <c r="DH33" t="s">
        <v>32</v>
      </c>
      <c r="DI3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13.336135200000001</v>
      </c>
      <c r="DJ33" t="s">
        <v>494</v>
      </c>
      <c r="DK33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2.8285322499999994</v>
      </c>
      <c r="DL33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13.432461610030748</v>
      </c>
    </row>
    <row r="34" spans="1:116" x14ac:dyDescent="0.2">
      <c r="A34">
        <v>251470</v>
      </c>
      <c r="B34" t="s">
        <v>495</v>
      </c>
      <c r="C34">
        <v>26</v>
      </c>
      <c r="D34">
        <v>4</v>
      </c>
      <c r="E34" s="1">
        <v>45919</v>
      </c>
      <c r="F34" t="s">
        <v>496</v>
      </c>
      <c r="G34">
        <v>0</v>
      </c>
      <c r="H34">
        <v>0</v>
      </c>
      <c r="I34" t="s">
        <v>497</v>
      </c>
      <c r="J34" t="s">
        <v>33</v>
      </c>
      <c r="K34">
        <v>82</v>
      </c>
      <c r="L34">
        <v>86</v>
      </c>
      <c r="M34">
        <v>43500000</v>
      </c>
      <c r="N34">
        <v>72000</v>
      </c>
      <c r="O34">
        <v>24</v>
      </c>
      <c r="P34" s="1">
        <v>36960</v>
      </c>
      <c r="Q34">
        <v>192</v>
      </c>
      <c r="R34">
        <v>79</v>
      </c>
      <c r="S34">
        <v>31</v>
      </c>
      <c r="T34" t="s">
        <v>250</v>
      </c>
      <c r="U34">
        <v>1</v>
      </c>
      <c r="V34">
        <v>39</v>
      </c>
      <c r="W34" t="s">
        <v>396</v>
      </c>
      <c r="X34" t="s">
        <v>314</v>
      </c>
      <c r="Y34">
        <v>17</v>
      </c>
      <c r="AA34" s="1">
        <v>45474</v>
      </c>
      <c r="AB34">
        <v>2027</v>
      </c>
      <c r="AC34">
        <v>7</v>
      </c>
      <c r="AD34" t="s">
        <v>279</v>
      </c>
      <c r="AH34" t="s">
        <v>18</v>
      </c>
      <c r="AI34">
        <v>3</v>
      </c>
      <c r="AJ34">
        <v>4</v>
      </c>
      <c r="AK34">
        <v>3</v>
      </c>
      <c r="AM34" t="s">
        <v>127</v>
      </c>
      <c r="AN34" t="s">
        <v>254</v>
      </c>
      <c r="AO34">
        <v>77200000</v>
      </c>
      <c r="AQ34">
        <v>0</v>
      </c>
      <c r="AR34" t="s">
        <v>498</v>
      </c>
      <c r="AS34">
        <v>70</v>
      </c>
      <c r="AT34">
        <v>79</v>
      </c>
      <c r="AU34">
        <v>80</v>
      </c>
      <c r="AV34">
        <v>83</v>
      </c>
      <c r="AW34">
        <v>56</v>
      </c>
      <c r="AX34">
        <v>68</v>
      </c>
      <c r="AY34">
        <v>76</v>
      </c>
      <c r="AZ34">
        <v>78</v>
      </c>
      <c r="BA34">
        <v>75</v>
      </c>
      <c r="BB34">
        <v>83</v>
      </c>
      <c r="BC34">
        <v>76</v>
      </c>
      <c r="BD34">
        <v>85</v>
      </c>
      <c r="BE34">
        <v>78</v>
      </c>
      <c r="BF34">
        <v>72</v>
      </c>
      <c r="BG34">
        <v>80</v>
      </c>
      <c r="BH34">
        <v>86</v>
      </c>
      <c r="BI34">
        <v>71</v>
      </c>
      <c r="BJ34">
        <v>70</v>
      </c>
      <c r="BK34">
        <v>79</v>
      </c>
      <c r="BL34">
        <v>77</v>
      </c>
      <c r="BM34">
        <v>61</v>
      </c>
      <c r="BN34">
        <v>82</v>
      </c>
      <c r="BO34">
        <v>78</v>
      </c>
      <c r="BP34">
        <v>78</v>
      </c>
      <c r="BQ34">
        <v>68</v>
      </c>
      <c r="BR34">
        <v>79</v>
      </c>
      <c r="BS34">
        <v>55</v>
      </c>
      <c r="BT34">
        <v>58</v>
      </c>
      <c r="BU34">
        <v>82</v>
      </c>
      <c r="BV34">
        <v>83</v>
      </c>
      <c r="BW34">
        <v>69</v>
      </c>
      <c r="BX34">
        <v>73</v>
      </c>
      <c r="BY34">
        <v>45</v>
      </c>
      <c r="BZ34">
        <v>59</v>
      </c>
      <c r="CA34">
        <v>54</v>
      </c>
      <c r="CB34">
        <v>11</v>
      </c>
      <c r="CC34">
        <v>8</v>
      </c>
      <c r="CD34">
        <v>14</v>
      </c>
      <c r="CE34">
        <v>8</v>
      </c>
      <c r="CF34">
        <v>8</v>
      </c>
      <c r="CH34" t="s">
        <v>7</v>
      </c>
      <c r="CI34" t="s">
        <v>7</v>
      </c>
      <c r="CJ34" t="s">
        <v>7</v>
      </c>
      <c r="CK34" t="s">
        <v>35</v>
      </c>
      <c r="CL34" t="s">
        <v>36</v>
      </c>
      <c r="CM34" t="s">
        <v>36</v>
      </c>
      <c r="CN34" t="s">
        <v>36</v>
      </c>
      <c r="CO34" t="s">
        <v>35</v>
      </c>
      <c r="CP34" t="s">
        <v>260</v>
      </c>
      <c r="CQ34" t="s">
        <v>260</v>
      </c>
      <c r="CR34" t="s">
        <v>260</v>
      </c>
      <c r="CS34" t="s">
        <v>269</v>
      </c>
      <c r="CT34" t="s">
        <v>269</v>
      </c>
      <c r="CU34" t="s">
        <v>269</v>
      </c>
      <c r="CV34" t="s">
        <v>269</v>
      </c>
      <c r="CW34" t="s">
        <v>269</v>
      </c>
      <c r="CX34" t="s">
        <v>283</v>
      </c>
      <c r="CY34" t="s">
        <v>283</v>
      </c>
      <c r="CZ34" t="s">
        <v>283</v>
      </c>
      <c r="DA34" t="s">
        <v>283</v>
      </c>
      <c r="DB34" t="s">
        <v>283</v>
      </c>
      <c r="DC34" t="s">
        <v>20</v>
      </c>
      <c r="DD34" t="s">
        <v>318</v>
      </c>
      <c r="DE34" t="s">
        <v>318</v>
      </c>
      <c r="DF34" t="s">
        <v>318</v>
      </c>
      <c r="DG34" t="s">
        <v>20</v>
      </c>
      <c r="DH34" t="s">
        <v>46</v>
      </c>
      <c r="DI3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12.6792692</v>
      </c>
      <c r="DJ34" t="s">
        <v>499</v>
      </c>
      <c r="DK34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3.0221554025000001</v>
      </c>
      <c r="DL34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12.757343398765267</v>
      </c>
    </row>
    <row r="35" spans="1:116" x14ac:dyDescent="0.2">
      <c r="A35">
        <v>233556</v>
      </c>
      <c r="B35" t="s">
        <v>500</v>
      </c>
      <c r="C35">
        <v>26</v>
      </c>
      <c r="D35">
        <v>4</v>
      </c>
      <c r="E35" s="1">
        <v>45919</v>
      </c>
      <c r="F35" t="s">
        <v>501</v>
      </c>
      <c r="G35">
        <v>0</v>
      </c>
      <c r="H35">
        <v>0</v>
      </c>
      <c r="I35" t="s">
        <v>502</v>
      </c>
      <c r="J35" t="s">
        <v>95</v>
      </c>
      <c r="K35">
        <v>82</v>
      </c>
      <c r="L35">
        <v>82</v>
      </c>
      <c r="M35">
        <v>30500000</v>
      </c>
      <c r="N35">
        <v>68000</v>
      </c>
      <c r="O35">
        <v>28</v>
      </c>
      <c r="P35" s="1">
        <v>35454</v>
      </c>
      <c r="Q35">
        <v>183</v>
      </c>
      <c r="R35">
        <v>83</v>
      </c>
      <c r="S35">
        <v>31</v>
      </c>
      <c r="T35" t="s">
        <v>250</v>
      </c>
      <c r="U35">
        <v>1</v>
      </c>
      <c r="V35">
        <v>189</v>
      </c>
      <c r="W35" t="s">
        <v>503</v>
      </c>
      <c r="X35" t="s">
        <v>96</v>
      </c>
      <c r="Y35">
        <v>7</v>
      </c>
      <c r="AA35" s="1">
        <v>43647</v>
      </c>
      <c r="AB35">
        <v>2027</v>
      </c>
      <c r="AC35">
        <v>27</v>
      </c>
      <c r="AD35" t="s">
        <v>267</v>
      </c>
      <c r="AE35">
        <v>1343</v>
      </c>
      <c r="AF35" t="s">
        <v>110</v>
      </c>
      <c r="AG35">
        <v>17</v>
      </c>
      <c r="AH35" t="s">
        <v>18</v>
      </c>
      <c r="AI35">
        <v>4</v>
      </c>
      <c r="AJ35">
        <v>4</v>
      </c>
      <c r="AK35">
        <v>3</v>
      </c>
      <c r="AM35" t="s">
        <v>3</v>
      </c>
      <c r="AN35" t="s">
        <v>254</v>
      </c>
      <c r="AO35">
        <v>51900000</v>
      </c>
      <c r="AQ35">
        <v>1</v>
      </c>
      <c r="AR35" t="s">
        <v>504</v>
      </c>
      <c r="AS35">
        <v>79</v>
      </c>
      <c r="AT35">
        <v>81</v>
      </c>
      <c r="AU35">
        <v>79</v>
      </c>
      <c r="AV35">
        <v>83</v>
      </c>
      <c r="AW35">
        <v>49</v>
      </c>
      <c r="AX35">
        <v>67</v>
      </c>
      <c r="AY35">
        <v>85</v>
      </c>
      <c r="AZ35">
        <v>80</v>
      </c>
      <c r="BA35">
        <v>61</v>
      </c>
      <c r="BB35">
        <v>78</v>
      </c>
      <c r="BC35">
        <v>81</v>
      </c>
      <c r="BD35">
        <v>85</v>
      </c>
      <c r="BE35">
        <v>82</v>
      </c>
      <c r="BF35">
        <v>75</v>
      </c>
      <c r="BG35">
        <v>73</v>
      </c>
      <c r="BH35">
        <v>83</v>
      </c>
      <c r="BI35">
        <v>81</v>
      </c>
      <c r="BJ35">
        <v>78</v>
      </c>
      <c r="BK35">
        <v>83</v>
      </c>
      <c r="BL35">
        <v>78</v>
      </c>
      <c r="BM35">
        <v>71</v>
      </c>
      <c r="BN35">
        <v>83</v>
      </c>
      <c r="BO35">
        <v>78</v>
      </c>
      <c r="BP35">
        <v>74</v>
      </c>
      <c r="BQ35">
        <v>71</v>
      </c>
      <c r="BR35">
        <v>84</v>
      </c>
      <c r="BS35">
        <v>45</v>
      </c>
      <c r="BT35">
        <v>40</v>
      </c>
      <c r="BU35">
        <v>81</v>
      </c>
      <c r="BV35">
        <v>78</v>
      </c>
      <c r="BW35">
        <v>74</v>
      </c>
      <c r="BX35">
        <v>76</v>
      </c>
      <c r="BY35">
        <v>54</v>
      </c>
      <c r="BZ35">
        <v>48</v>
      </c>
      <c r="CA35">
        <v>38</v>
      </c>
      <c r="CB35">
        <v>11</v>
      </c>
      <c r="CC35">
        <v>11</v>
      </c>
      <c r="CD35">
        <v>14</v>
      </c>
      <c r="CE35">
        <v>6</v>
      </c>
      <c r="CF35">
        <v>12</v>
      </c>
      <c r="CH35" t="s">
        <v>7</v>
      </c>
      <c r="CI35" t="s">
        <v>7</v>
      </c>
      <c r="CJ35" t="s">
        <v>7</v>
      </c>
      <c r="CK35" t="s">
        <v>9</v>
      </c>
      <c r="CL35" t="s">
        <v>36</v>
      </c>
      <c r="CM35" t="s">
        <v>36</v>
      </c>
      <c r="CN35" t="s">
        <v>36</v>
      </c>
      <c r="CO35" t="s">
        <v>9</v>
      </c>
      <c r="CP35" t="s">
        <v>488</v>
      </c>
      <c r="CQ35" t="s">
        <v>488</v>
      </c>
      <c r="CR35" t="s">
        <v>488</v>
      </c>
      <c r="CS35" t="s">
        <v>16</v>
      </c>
      <c r="CT35" t="s">
        <v>25</v>
      </c>
      <c r="CU35" t="s">
        <v>25</v>
      </c>
      <c r="CV35" t="s">
        <v>25</v>
      </c>
      <c r="CW35" t="s">
        <v>16</v>
      </c>
      <c r="CX35" t="s">
        <v>11</v>
      </c>
      <c r="CY35" t="s">
        <v>318</v>
      </c>
      <c r="CZ35" t="s">
        <v>318</v>
      </c>
      <c r="DA35" t="s">
        <v>318</v>
      </c>
      <c r="DB35" t="s">
        <v>11</v>
      </c>
      <c r="DC35" t="s">
        <v>318</v>
      </c>
      <c r="DD35" t="s">
        <v>376</v>
      </c>
      <c r="DE35" t="s">
        <v>376</v>
      </c>
      <c r="DF35" t="s">
        <v>376</v>
      </c>
      <c r="DG35" t="s">
        <v>318</v>
      </c>
      <c r="DH35" t="s">
        <v>293</v>
      </c>
      <c r="DI3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13.288908599999999</v>
      </c>
      <c r="DJ35" t="s">
        <v>505</v>
      </c>
      <c r="DK35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2.9488123556249999</v>
      </c>
      <c r="DL35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13.358864500646753</v>
      </c>
    </row>
    <row r="36" spans="1:116" x14ac:dyDescent="0.2">
      <c r="A36">
        <v>210935</v>
      </c>
      <c r="B36" t="s">
        <v>506</v>
      </c>
      <c r="C36">
        <v>26</v>
      </c>
      <c r="D36">
        <v>4</v>
      </c>
      <c r="E36" s="1">
        <v>45919</v>
      </c>
      <c r="F36" t="s">
        <v>507</v>
      </c>
      <c r="G36">
        <v>0</v>
      </c>
      <c r="H36">
        <v>0</v>
      </c>
      <c r="I36" t="s">
        <v>508</v>
      </c>
      <c r="J36" t="s">
        <v>509</v>
      </c>
      <c r="K36">
        <v>82</v>
      </c>
      <c r="L36">
        <v>82</v>
      </c>
      <c r="M36">
        <v>29500000</v>
      </c>
      <c r="N36">
        <v>36000</v>
      </c>
      <c r="O36">
        <v>30</v>
      </c>
      <c r="P36" s="1">
        <v>34547</v>
      </c>
      <c r="Q36">
        <v>183</v>
      </c>
      <c r="R36">
        <v>72</v>
      </c>
      <c r="S36">
        <v>31</v>
      </c>
      <c r="T36" t="s">
        <v>250</v>
      </c>
      <c r="U36">
        <v>1</v>
      </c>
      <c r="V36">
        <v>111974</v>
      </c>
      <c r="W36" t="s">
        <v>510</v>
      </c>
      <c r="X36" t="s">
        <v>123</v>
      </c>
      <c r="Y36">
        <v>10</v>
      </c>
      <c r="AA36" s="1">
        <v>42186</v>
      </c>
      <c r="AB36">
        <v>2029</v>
      </c>
      <c r="AC36">
        <v>27</v>
      </c>
      <c r="AD36" t="s">
        <v>267</v>
      </c>
      <c r="AH36" t="s">
        <v>18</v>
      </c>
      <c r="AI36">
        <v>3</v>
      </c>
      <c r="AJ36">
        <v>4</v>
      </c>
      <c r="AK36">
        <v>3</v>
      </c>
      <c r="AM36" t="s">
        <v>19</v>
      </c>
      <c r="AN36" t="s">
        <v>254</v>
      </c>
      <c r="AO36">
        <v>53100000</v>
      </c>
      <c r="AP36" t="s">
        <v>5</v>
      </c>
      <c r="AQ36">
        <v>1</v>
      </c>
      <c r="AR36" t="s">
        <v>511</v>
      </c>
      <c r="AS36">
        <v>82</v>
      </c>
      <c r="AT36">
        <v>80</v>
      </c>
      <c r="AU36">
        <v>79</v>
      </c>
      <c r="AV36">
        <v>84</v>
      </c>
      <c r="AW36">
        <v>35</v>
      </c>
      <c r="AX36">
        <v>68</v>
      </c>
      <c r="AY36">
        <v>77</v>
      </c>
      <c r="AZ36">
        <v>81</v>
      </c>
      <c r="BA36">
        <v>62</v>
      </c>
      <c r="BB36">
        <v>81</v>
      </c>
      <c r="BC36">
        <v>79</v>
      </c>
      <c r="BD36">
        <v>83</v>
      </c>
      <c r="BE36">
        <v>84</v>
      </c>
      <c r="BF36">
        <v>79</v>
      </c>
      <c r="BG36">
        <v>77</v>
      </c>
      <c r="BH36">
        <v>84</v>
      </c>
      <c r="BI36">
        <v>84</v>
      </c>
      <c r="BJ36">
        <v>80</v>
      </c>
      <c r="BK36">
        <v>88</v>
      </c>
      <c r="BL36">
        <v>82</v>
      </c>
      <c r="BM36">
        <v>84</v>
      </c>
      <c r="BN36">
        <v>80</v>
      </c>
      <c r="BO36">
        <v>73</v>
      </c>
      <c r="BP36">
        <v>75</v>
      </c>
      <c r="BQ36">
        <v>58</v>
      </c>
      <c r="BR36">
        <v>78</v>
      </c>
      <c r="BS36">
        <v>85</v>
      </c>
      <c r="BT36">
        <v>36</v>
      </c>
      <c r="BU36">
        <v>83</v>
      </c>
      <c r="BV36">
        <v>80</v>
      </c>
      <c r="BW36">
        <v>86</v>
      </c>
      <c r="BX36">
        <v>78</v>
      </c>
      <c r="BY36">
        <v>32</v>
      </c>
      <c r="BZ36">
        <v>30</v>
      </c>
      <c r="CA36">
        <v>30</v>
      </c>
      <c r="CB36">
        <v>5</v>
      </c>
      <c r="CC36">
        <v>6</v>
      </c>
      <c r="CD36">
        <v>5</v>
      </c>
      <c r="CE36">
        <v>5</v>
      </c>
      <c r="CF36">
        <v>6</v>
      </c>
      <c r="CH36" t="s">
        <v>7</v>
      </c>
      <c r="CI36" t="s">
        <v>7</v>
      </c>
      <c r="CJ36" t="s">
        <v>7</v>
      </c>
      <c r="CK36" t="s">
        <v>9</v>
      </c>
      <c r="CL36" t="s">
        <v>9</v>
      </c>
      <c r="CM36" t="s">
        <v>9</v>
      </c>
      <c r="CN36" t="s">
        <v>9</v>
      </c>
      <c r="CO36" t="s">
        <v>9</v>
      </c>
      <c r="CP36" t="s">
        <v>9</v>
      </c>
      <c r="CQ36" t="s">
        <v>9</v>
      </c>
      <c r="CR36" t="s">
        <v>9</v>
      </c>
      <c r="CS36" t="s">
        <v>16</v>
      </c>
      <c r="CT36" t="s">
        <v>24</v>
      </c>
      <c r="CU36" t="s">
        <v>24</v>
      </c>
      <c r="CV36" t="s">
        <v>24</v>
      </c>
      <c r="CW36" t="s">
        <v>16</v>
      </c>
      <c r="CX36" t="s">
        <v>12</v>
      </c>
      <c r="CY36" t="s">
        <v>39</v>
      </c>
      <c r="CZ36" t="s">
        <v>39</v>
      </c>
      <c r="DA36" t="s">
        <v>39</v>
      </c>
      <c r="DB36" t="s">
        <v>12</v>
      </c>
      <c r="DC36" t="s">
        <v>384</v>
      </c>
      <c r="DD36" t="s">
        <v>14</v>
      </c>
      <c r="DE36" t="s">
        <v>14</v>
      </c>
      <c r="DF36" t="s">
        <v>14</v>
      </c>
      <c r="DG36" t="s">
        <v>384</v>
      </c>
      <c r="DH36" t="s">
        <v>320</v>
      </c>
      <c r="DI3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12.831214099999999</v>
      </c>
      <c r="DJ36" t="s">
        <v>512</v>
      </c>
      <c r="DK36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3.0133375625000003</v>
      </c>
      <c r="DL36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12.880733691749187</v>
      </c>
    </row>
    <row r="37" spans="1:116" x14ac:dyDescent="0.2">
      <c r="A37">
        <v>246430</v>
      </c>
      <c r="B37" t="s">
        <v>513</v>
      </c>
      <c r="C37">
        <v>26</v>
      </c>
      <c r="D37">
        <v>4</v>
      </c>
      <c r="E37" s="1">
        <v>45919</v>
      </c>
      <c r="F37" t="s">
        <v>514</v>
      </c>
      <c r="G37">
        <v>0</v>
      </c>
      <c r="H37">
        <v>0</v>
      </c>
      <c r="I37" t="s">
        <v>515</v>
      </c>
      <c r="J37" t="s">
        <v>34</v>
      </c>
      <c r="K37">
        <v>82</v>
      </c>
      <c r="L37">
        <v>85</v>
      </c>
      <c r="M37">
        <v>41000000</v>
      </c>
      <c r="N37">
        <v>135000</v>
      </c>
      <c r="O37">
        <v>25</v>
      </c>
      <c r="P37" s="1">
        <v>36553</v>
      </c>
      <c r="Q37">
        <v>190</v>
      </c>
      <c r="R37">
        <v>88</v>
      </c>
      <c r="S37">
        <v>31</v>
      </c>
      <c r="T37" t="s">
        <v>250</v>
      </c>
      <c r="U37">
        <v>1</v>
      </c>
      <c r="V37">
        <v>45</v>
      </c>
      <c r="W37" t="s">
        <v>345</v>
      </c>
      <c r="X37" t="s">
        <v>110</v>
      </c>
      <c r="Y37">
        <v>9</v>
      </c>
      <c r="AA37" s="1">
        <v>44589</v>
      </c>
      <c r="AB37">
        <v>2026</v>
      </c>
      <c r="AC37">
        <v>51</v>
      </c>
      <c r="AD37" t="s">
        <v>516</v>
      </c>
      <c r="AH37" t="s">
        <v>18</v>
      </c>
      <c r="AI37">
        <v>4</v>
      </c>
      <c r="AJ37">
        <v>3</v>
      </c>
      <c r="AK37">
        <v>3</v>
      </c>
      <c r="AM37" t="s">
        <v>88</v>
      </c>
      <c r="AN37" t="s">
        <v>254</v>
      </c>
      <c r="AO37">
        <v>72800000</v>
      </c>
      <c r="AP37" t="s">
        <v>73</v>
      </c>
      <c r="AQ37">
        <v>1</v>
      </c>
      <c r="AR37" t="s">
        <v>517</v>
      </c>
      <c r="AS37">
        <v>78</v>
      </c>
      <c r="AT37">
        <v>84</v>
      </c>
      <c r="AU37">
        <v>69</v>
      </c>
      <c r="AV37">
        <v>77</v>
      </c>
      <c r="AW37">
        <v>29</v>
      </c>
      <c r="AX37">
        <v>82</v>
      </c>
      <c r="AY37">
        <v>57</v>
      </c>
      <c r="AZ37">
        <v>84</v>
      </c>
      <c r="BA37">
        <v>82</v>
      </c>
      <c r="BB37">
        <v>75</v>
      </c>
      <c r="BC37">
        <v>80</v>
      </c>
      <c r="BD37">
        <v>79</v>
      </c>
      <c r="BE37">
        <v>79</v>
      </c>
      <c r="BF37">
        <v>89</v>
      </c>
      <c r="BG37">
        <v>60</v>
      </c>
      <c r="BH37">
        <v>81</v>
      </c>
      <c r="BI37">
        <v>76</v>
      </c>
      <c r="BJ37">
        <v>79</v>
      </c>
      <c r="BK37">
        <v>68</v>
      </c>
      <c r="BL37">
        <v>84</v>
      </c>
      <c r="BM37">
        <v>53</v>
      </c>
      <c r="BN37">
        <v>84</v>
      </c>
      <c r="BO37">
        <v>92</v>
      </c>
      <c r="BP37">
        <v>74</v>
      </c>
      <c r="BQ37">
        <v>86</v>
      </c>
      <c r="BR37">
        <v>83</v>
      </c>
      <c r="BS37">
        <v>80</v>
      </c>
      <c r="BT37">
        <v>24</v>
      </c>
      <c r="BU37">
        <v>86</v>
      </c>
      <c r="BV37">
        <v>70</v>
      </c>
      <c r="BW37">
        <v>84</v>
      </c>
      <c r="BX37">
        <v>78</v>
      </c>
      <c r="BY37">
        <v>19</v>
      </c>
      <c r="BZ37">
        <v>26</v>
      </c>
      <c r="CA37">
        <v>24</v>
      </c>
      <c r="CB37">
        <v>5</v>
      </c>
      <c r="CC37">
        <v>15</v>
      </c>
      <c r="CD37">
        <v>6</v>
      </c>
      <c r="CE37">
        <v>11</v>
      </c>
      <c r="CF37">
        <v>10</v>
      </c>
      <c r="CH37" t="s">
        <v>260</v>
      </c>
      <c r="CI37" t="s">
        <v>260</v>
      </c>
      <c r="CJ37" t="s">
        <v>260</v>
      </c>
      <c r="CK37" t="s">
        <v>66</v>
      </c>
      <c r="CL37" t="s">
        <v>35</v>
      </c>
      <c r="CM37" t="s">
        <v>35</v>
      </c>
      <c r="CN37" t="s">
        <v>35</v>
      </c>
      <c r="CO37" t="s">
        <v>66</v>
      </c>
      <c r="CP37" t="s">
        <v>10</v>
      </c>
      <c r="CQ37" t="s">
        <v>10</v>
      </c>
      <c r="CR37" t="s">
        <v>10</v>
      </c>
      <c r="CS37" t="s">
        <v>24</v>
      </c>
      <c r="CT37" t="s">
        <v>290</v>
      </c>
      <c r="CU37" t="s">
        <v>290</v>
      </c>
      <c r="CV37" t="s">
        <v>290</v>
      </c>
      <c r="CW37" t="s">
        <v>24</v>
      </c>
      <c r="CX37" t="s">
        <v>452</v>
      </c>
      <c r="CY37" t="s">
        <v>452</v>
      </c>
      <c r="CZ37" t="s">
        <v>452</v>
      </c>
      <c r="DA37" t="s">
        <v>452</v>
      </c>
      <c r="DB37" t="s">
        <v>452</v>
      </c>
      <c r="DC37" t="s">
        <v>459</v>
      </c>
      <c r="DD37" t="s">
        <v>14</v>
      </c>
      <c r="DE37" t="s">
        <v>14</v>
      </c>
      <c r="DF37" t="s">
        <v>14</v>
      </c>
      <c r="DG37" t="s">
        <v>459</v>
      </c>
      <c r="DH37" t="s">
        <v>293</v>
      </c>
      <c r="DI3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13.610025199999999</v>
      </c>
      <c r="DJ37" t="s">
        <v>518</v>
      </c>
      <c r="DK37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2.6031447656249997</v>
      </c>
      <c r="DL37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13.71762019322742</v>
      </c>
    </row>
    <row r="38" spans="1:116" x14ac:dyDescent="0.2">
      <c r="A38">
        <v>243630</v>
      </c>
      <c r="B38" t="s">
        <v>519</v>
      </c>
      <c r="C38">
        <v>26</v>
      </c>
      <c r="D38">
        <v>4</v>
      </c>
      <c r="E38" s="1">
        <v>45919</v>
      </c>
      <c r="F38" t="s">
        <v>520</v>
      </c>
      <c r="G38">
        <v>0</v>
      </c>
      <c r="H38">
        <v>0</v>
      </c>
      <c r="I38" t="s">
        <v>521</v>
      </c>
      <c r="J38" t="s">
        <v>34</v>
      </c>
      <c r="K38">
        <v>82</v>
      </c>
      <c r="L38">
        <v>85</v>
      </c>
      <c r="M38">
        <v>41000000</v>
      </c>
      <c r="N38">
        <v>135000</v>
      </c>
      <c r="O38">
        <v>25</v>
      </c>
      <c r="P38" s="1">
        <v>36539</v>
      </c>
      <c r="Q38">
        <v>178</v>
      </c>
      <c r="R38">
        <v>81</v>
      </c>
      <c r="S38">
        <v>31</v>
      </c>
      <c r="T38" t="s">
        <v>250</v>
      </c>
      <c r="U38">
        <v>1</v>
      </c>
      <c r="V38">
        <v>45</v>
      </c>
      <c r="W38" t="s">
        <v>345</v>
      </c>
      <c r="X38" t="s">
        <v>34</v>
      </c>
      <c r="Y38">
        <v>30</v>
      </c>
      <c r="AA38" s="1">
        <v>45842</v>
      </c>
      <c r="AB38">
        <v>2030</v>
      </c>
      <c r="AC38">
        <v>70</v>
      </c>
      <c r="AD38" t="s">
        <v>522</v>
      </c>
      <c r="AH38" t="s">
        <v>2</v>
      </c>
      <c r="AI38">
        <v>5</v>
      </c>
      <c r="AJ38">
        <v>3</v>
      </c>
      <c r="AK38">
        <v>3</v>
      </c>
      <c r="AM38" t="s">
        <v>3</v>
      </c>
      <c r="AN38" t="s">
        <v>254</v>
      </c>
      <c r="AO38">
        <v>72800000</v>
      </c>
      <c r="AQ38">
        <v>0</v>
      </c>
      <c r="AR38" t="s">
        <v>523</v>
      </c>
      <c r="AS38">
        <v>81</v>
      </c>
      <c r="AT38">
        <v>82</v>
      </c>
      <c r="AU38">
        <v>71</v>
      </c>
      <c r="AV38">
        <v>80</v>
      </c>
      <c r="AW38">
        <v>34</v>
      </c>
      <c r="AX38">
        <v>78</v>
      </c>
      <c r="AY38">
        <v>67</v>
      </c>
      <c r="AZ38">
        <v>85</v>
      </c>
      <c r="BA38">
        <v>77</v>
      </c>
      <c r="BB38">
        <v>76</v>
      </c>
      <c r="BC38">
        <v>77</v>
      </c>
      <c r="BD38">
        <v>80</v>
      </c>
      <c r="BE38">
        <v>59</v>
      </c>
      <c r="BF38">
        <v>58</v>
      </c>
      <c r="BG38">
        <v>69</v>
      </c>
      <c r="BH38">
        <v>81</v>
      </c>
      <c r="BI38">
        <v>79</v>
      </c>
      <c r="BJ38">
        <v>83</v>
      </c>
      <c r="BK38">
        <v>75</v>
      </c>
      <c r="BL38">
        <v>84</v>
      </c>
      <c r="BM38">
        <v>71</v>
      </c>
      <c r="BN38">
        <v>79</v>
      </c>
      <c r="BO38">
        <v>87</v>
      </c>
      <c r="BP38">
        <v>90</v>
      </c>
      <c r="BQ38">
        <v>77</v>
      </c>
      <c r="BR38">
        <v>77</v>
      </c>
      <c r="BS38">
        <v>61</v>
      </c>
      <c r="BT38">
        <v>33</v>
      </c>
      <c r="BU38">
        <v>88</v>
      </c>
      <c r="BV38">
        <v>74</v>
      </c>
      <c r="BW38">
        <v>86</v>
      </c>
      <c r="BX38">
        <v>81</v>
      </c>
      <c r="BY38">
        <v>29</v>
      </c>
      <c r="BZ38">
        <v>29</v>
      </c>
      <c r="CA38">
        <v>19</v>
      </c>
      <c r="CB38">
        <v>7</v>
      </c>
      <c r="CC38">
        <v>7</v>
      </c>
      <c r="CD38">
        <v>11</v>
      </c>
      <c r="CE38">
        <v>7</v>
      </c>
      <c r="CF38">
        <v>7</v>
      </c>
      <c r="CH38" t="s">
        <v>260</v>
      </c>
      <c r="CI38" t="s">
        <v>260</v>
      </c>
      <c r="CJ38" t="s">
        <v>260</v>
      </c>
      <c r="CK38" t="s">
        <v>35</v>
      </c>
      <c r="CL38" t="s">
        <v>36</v>
      </c>
      <c r="CM38" t="s">
        <v>36</v>
      </c>
      <c r="CN38" t="s">
        <v>36</v>
      </c>
      <c r="CO38" t="s">
        <v>35</v>
      </c>
      <c r="CP38" t="s">
        <v>7</v>
      </c>
      <c r="CQ38" t="s">
        <v>7</v>
      </c>
      <c r="CR38" t="s">
        <v>7</v>
      </c>
      <c r="CS38" t="s">
        <v>7</v>
      </c>
      <c r="CT38" t="s">
        <v>23</v>
      </c>
      <c r="CU38" t="s">
        <v>23</v>
      </c>
      <c r="CV38" t="s">
        <v>23</v>
      </c>
      <c r="CW38" t="s">
        <v>7</v>
      </c>
      <c r="CX38" t="s">
        <v>39</v>
      </c>
      <c r="CY38" t="s">
        <v>384</v>
      </c>
      <c r="CZ38" t="s">
        <v>384</v>
      </c>
      <c r="DA38" t="s">
        <v>384</v>
      </c>
      <c r="DB38" t="s">
        <v>39</v>
      </c>
      <c r="DC38" t="s">
        <v>376</v>
      </c>
      <c r="DD38" t="s">
        <v>453</v>
      </c>
      <c r="DE38" t="s">
        <v>453</v>
      </c>
      <c r="DF38" t="s">
        <v>453</v>
      </c>
      <c r="DG38" t="s">
        <v>376</v>
      </c>
      <c r="DH38" t="s">
        <v>40</v>
      </c>
      <c r="DI3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13.4766782</v>
      </c>
      <c r="DJ38" t="s">
        <v>524</v>
      </c>
      <c r="DK38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2.5531842226562498</v>
      </c>
      <c r="DL38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13.5881491340512</v>
      </c>
    </row>
    <row r="39" spans="1:116" x14ac:dyDescent="0.2">
      <c r="A39">
        <v>229237</v>
      </c>
      <c r="B39" t="s">
        <v>525</v>
      </c>
      <c r="C39">
        <v>26</v>
      </c>
      <c r="D39">
        <v>4</v>
      </c>
      <c r="E39" s="1">
        <v>45919</v>
      </c>
      <c r="F39" t="s">
        <v>526</v>
      </c>
      <c r="G39">
        <v>1</v>
      </c>
      <c r="H39">
        <v>0</v>
      </c>
      <c r="I39" t="s">
        <v>527</v>
      </c>
      <c r="J39" t="s">
        <v>71</v>
      </c>
      <c r="K39">
        <v>82</v>
      </c>
      <c r="L39">
        <v>82</v>
      </c>
      <c r="M39">
        <v>25500000</v>
      </c>
      <c r="N39">
        <v>135000</v>
      </c>
      <c r="O39">
        <v>29</v>
      </c>
      <c r="P39" s="1">
        <v>34899</v>
      </c>
      <c r="Q39">
        <v>187</v>
      </c>
      <c r="R39">
        <v>91</v>
      </c>
      <c r="S39">
        <v>31</v>
      </c>
      <c r="T39" t="s">
        <v>250</v>
      </c>
      <c r="U39">
        <v>1</v>
      </c>
      <c r="V39">
        <v>44</v>
      </c>
      <c r="W39" t="s">
        <v>251</v>
      </c>
      <c r="X39" t="s">
        <v>47</v>
      </c>
      <c r="Y39">
        <v>25</v>
      </c>
      <c r="Z39" t="s">
        <v>528</v>
      </c>
      <c r="AB39">
        <v>2026</v>
      </c>
      <c r="AC39">
        <v>47</v>
      </c>
      <c r="AD39" t="s">
        <v>298</v>
      </c>
      <c r="AH39" t="s">
        <v>2</v>
      </c>
      <c r="AI39">
        <v>4</v>
      </c>
      <c r="AJ39">
        <v>2</v>
      </c>
      <c r="AK39">
        <v>3</v>
      </c>
      <c r="AM39" t="s">
        <v>253</v>
      </c>
      <c r="AN39" t="s">
        <v>254</v>
      </c>
      <c r="AQ39">
        <v>0</v>
      </c>
      <c r="AR39" t="s">
        <v>102</v>
      </c>
      <c r="AS39">
        <v>74</v>
      </c>
      <c r="AT39">
        <v>48</v>
      </c>
      <c r="AU39">
        <v>69</v>
      </c>
      <c r="AV39">
        <v>73</v>
      </c>
      <c r="AW39">
        <v>82</v>
      </c>
      <c r="AX39">
        <v>81</v>
      </c>
      <c r="AY39">
        <v>55</v>
      </c>
      <c r="AZ39">
        <v>38</v>
      </c>
      <c r="BA39">
        <v>79</v>
      </c>
      <c r="BB39">
        <v>79</v>
      </c>
      <c r="BC39">
        <v>42</v>
      </c>
      <c r="BD39">
        <v>74</v>
      </c>
      <c r="BE39">
        <v>54</v>
      </c>
      <c r="BF39">
        <v>59</v>
      </c>
      <c r="BG39">
        <v>77</v>
      </c>
      <c r="BH39">
        <v>75</v>
      </c>
      <c r="BI39">
        <v>71</v>
      </c>
      <c r="BJ39">
        <v>76</v>
      </c>
      <c r="BK39">
        <v>66</v>
      </c>
      <c r="BL39">
        <v>82</v>
      </c>
      <c r="BM39">
        <v>54</v>
      </c>
      <c r="BN39">
        <v>75</v>
      </c>
      <c r="BO39">
        <v>81</v>
      </c>
      <c r="BP39">
        <v>71</v>
      </c>
      <c r="BQ39">
        <v>85</v>
      </c>
      <c r="BR39">
        <v>48</v>
      </c>
      <c r="BS39">
        <v>82</v>
      </c>
      <c r="BT39">
        <v>82</v>
      </c>
      <c r="BU39">
        <v>37</v>
      </c>
      <c r="BV39">
        <v>65</v>
      </c>
      <c r="BW39">
        <v>40</v>
      </c>
      <c r="BX39">
        <v>80</v>
      </c>
      <c r="BY39">
        <v>83</v>
      </c>
      <c r="BZ39">
        <v>83</v>
      </c>
      <c r="CA39">
        <v>82</v>
      </c>
      <c r="CB39">
        <v>10</v>
      </c>
      <c r="CC39">
        <v>9</v>
      </c>
      <c r="CD39">
        <v>13</v>
      </c>
      <c r="CE39">
        <v>6</v>
      </c>
      <c r="CF39">
        <v>9</v>
      </c>
      <c r="CH39" t="s">
        <v>318</v>
      </c>
      <c r="CI39" t="s">
        <v>318</v>
      </c>
      <c r="CJ39" t="s">
        <v>318</v>
      </c>
      <c r="CK39" t="s">
        <v>114</v>
      </c>
      <c r="CL39" t="s">
        <v>114</v>
      </c>
      <c r="CM39" t="s">
        <v>114</v>
      </c>
      <c r="CN39" t="s">
        <v>114</v>
      </c>
      <c r="CO39" t="s">
        <v>114</v>
      </c>
      <c r="CP39" t="s">
        <v>20</v>
      </c>
      <c r="CQ39" t="s">
        <v>20</v>
      </c>
      <c r="CR39" t="s">
        <v>20</v>
      </c>
      <c r="CS39" t="s">
        <v>37</v>
      </c>
      <c r="CT39" t="s">
        <v>282</v>
      </c>
      <c r="CU39" t="s">
        <v>282</v>
      </c>
      <c r="CV39" t="s">
        <v>282</v>
      </c>
      <c r="CW39" t="s">
        <v>37</v>
      </c>
      <c r="CX39" t="s">
        <v>24</v>
      </c>
      <c r="CY39" t="s">
        <v>7</v>
      </c>
      <c r="CZ39" t="s">
        <v>7</v>
      </c>
      <c r="DA39" t="s">
        <v>7</v>
      </c>
      <c r="DB39" t="s">
        <v>24</v>
      </c>
      <c r="DC39" t="s">
        <v>30</v>
      </c>
      <c r="DD39" t="s">
        <v>9</v>
      </c>
      <c r="DE39" t="s">
        <v>9</v>
      </c>
      <c r="DF39" t="s">
        <v>9</v>
      </c>
      <c r="DG39" t="s">
        <v>30</v>
      </c>
      <c r="DH39" t="s">
        <v>46</v>
      </c>
      <c r="DI3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13.599596099999999</v>
      </c>
      <c r="DJ39" t="s">
        <v>529</v>
      </c>
      <c r="DK39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2.3895100625000003</v>
      </c>
      <c r="DL39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13.694856481006687</v>
      </c>
    </row>
    <row r="40" spans="1:116" x14ac:dyDescent="0.2">
      <c r="A40">
        <v>215333</v>
      </c>
      <c r="B40" t="s">
        <v>530</v>
      </c>
      <c r="C40">
        <v>26</v>
      </c>
      <c r="D40">
        <v>4</v>
      </c>
      <c r="E40" s="1">
        <v>45919</v>
      </c>
      <c r="F40" t="s">
        <v>531</v>
      </c>
      <c r="G40">
        <v>0</v>
      </c>
      <c r="H40">
        <v>0</v>
      </c>
      <c r="I40" t="s">
        <v>532</v>
      </c>
      <c r="J40" t="s">
        <v>34</v>
      </c>
      <c r="K40">
        <v>82</v>
      </c>
      <c r="L40">
        <v>82</v>
      </c>
      <c r="M40">
        <v>15000000</v>
      </c>
      <c r="N40">
        <v>61000</v>
      </c>
      <c r="O40">
        <v>34</v>
      </c>
      <c r="P40" s="1">
        <v>33329</v>
      </c>
      <c r="Q40">
        <v>188</v>
      </c>
      <c r="R40">
        <v>88</v>
      </c>
      <c r="S40">
        <v>31</v>
      </c>
      <c r="T40" t="s">
        <v>250</v>
      </c>
      <c r="U40">
        <v>1</v>
      </c>
      <c r="V40">
        <v>54</v>
      </c>
      <c r="W40" t="s">
        <v>533</v>
      </c>
      <c r="X40" t="s">
        <v>110</v>
      </c>
      <c r="Y40">
        <v>91</v>
      </c>
      <c r="AA40" s="1">
        <v>45474</v>
      </c>
      <c r="AB40">
        <v>2026</v>
      </c>
      <c r="AC40">
        <v>56</v>
      </c>
      <c r="AD40" t="s">
        <v>534</v>
      </c>
      <c r="AH40" t="s">
        <v>2</v>
      </c>
      <c r="AI40">
        <v>4</v>
      </c>
      <c r="AJ40">
        <v>3</v>
      </c>
      <c r="AK40">
        <v>3</v>
      </c>
      <c r="AM40" t="s">
        <v>107</v>
      </c>
      <c r="AN40" t="s">
        <v>254</v>
      </c>
      <c r="AO40">
        <v>25500000</v>
      </c>
      <c r="AP40" t="s">
        <v>73</v>
      </c>
      <c r="AQ40">
        <v>0</v>
      </c>
      <c r="AR40" t="s">
        <v>535</v>
      </c>
      <c r="AS40">
        <v>74</v>
      </c>
      <c r="AT40">
        <v>81</v>
      </c>
      <c r="AU40">
        <v>64</v>
      </c>
      <c r="AV40">
        <v>77</v>
      </c>
      <c r="AW40">
        <v>35</v>
      </c>
      <c r="AX40">
        <v>82</v>
      </c>
      <c r="AY40">
        <v>47</v>
      </c>
      <c r="AZ40">
        <v>84</v>
      </c>
      <c r="BA40">
        <v>87</v>
      </c>
      <c r="BB40">
        <v>74</v>
      </c>
      <c r="BC40">
        <v>79</v>
      </c>
      <c r="BD40">
        <v>79</v>
      </c>
      <c r="BE40">
        <v>55</v>
      </c>
      <c r="BF40">
        <v>62</v>
      </c>
      <c r="BG40">
        <v>57</v>
      </c>
      <c r="BH40">
        <v>80</v>
      </c>
      <c r="BI40">
        <v>72</v>
      </c>
      <c r="BJ40">
        <v>76</v>
      </c>
      <c r="BK40">
        <v>66</v>
      </c>
      <c r="BL40">
        <v>78</v>
      </c>
      <c r="BM40">
        <v>57</v>
      </c>
      <c r="BN40">
        <v>88</v>
      </c>
      <c r="BO40">
        <v>93</v>
      </c>
      <c r="BP40">
        <v>65</v>
      </c>
      <c r="BQ40">
        <v>90</v>
      </c>
      <c r="BR40">
        <v>69</v>
      </c>
      <c r="BS40">
        <v>80</v>
      </c>
      <c r="BT40">
        <v>20</v>
      </c>
      <c r="BU40">
        <v>86</v>
      </c>
      <c r="BV40">
        <v>70</v>
      </c>
      <c r="BW40">
        <v>75</v>
      </c>
      <c r="BX40">
        <v>82</v>
      </c>
      <c r="BY40">
        <v>44</v>
      </c>
      <c r="BZ40">
        <v>24</v>
      </c>
      <c r="CA40">
        <v>22</v>
      </c>
      <c r="CB40">
        <v>9</v>
      </c>
      <c r="CC40">
        <v>9</v>
      </c>
      <c r="CD40">
        <v>8</v>
      </c>
      <c r="CE40">
        <v>6</v>
      </c>
      <c r="CF40">
        <v>8</v>
      </c>
      <c r="CH40" t="s">
        <v>9</v>
      </c>
      <c r="CI40" t="s">
        <v>9</v>
      </c>
      <c r="CJ40" t="s">
        <v>9</v>
      </c>
      <c r="CK40" t="s">
        <v>119</v>
      </c>
      <c r="CL40" t="s">
        <v>44</v>
      </c>
      <c r="CM40" t="s">
        <v>44</v>
      </c>
      <c r="CN40" t="s">
        <v>44</v>
      </c>
      <c r="CO40" t="s">
        <v>119</v>
      </c>
      <c r="CP40" t="s">
        <v>24</v>
      </c>
      <c r="CQ40" t="s">
        <v>24</v>
      </c>
      <c r="CR40" t="s">
        <v>24</v>
      </c>
      <c r="CS40" t="s">
        <v>29</v>
      </c>
      <c r="CT40" t="s">
        <v>37</v>
      </c>
      <c r="CU40" t="s">
        <v>37</v>
      </c>
      <c r="CV40" t="s">
        <v>37</v>
      </c>
      <c r="CW40" t="s">
        <v>29</v>
      </c>
      <c r="CX40" t="s">
        <v>319</v>
      </c>
      <c r="CY40" t="s">
        <v>452</v>
      </c>
      <c r="CZ40" t="s">
        <v>452</v>
      </c>
      <c r="DA40" t="s">
        <v>452</v>
      </c>
      <c r="DB40" t="s">
        <v>319</v>
      </c>
      <c r="DC40" t="s">
        <v>453</v>
      </c>
      <c r="DD40" t="s">
        <v>319</v>
      </c>
      <c r="DE40" t="s">
        <v>319</v>
      </c>
      <c r="DF40" t="s">
        <v>319</v>
      </c>
      <c r="DG40" t="s">
        <v>453</v>
      </c>
      <c r="DH40" t="s">
        <v>40</v>
      </c>
      <c r="DI4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13.4253856</v>
      </c>
      <c r="DJ40" t="s">
        <v>536</v>
      </c>
      <c r="DK40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2.28920144140625</v>
      </c>
      <c r="DL40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13.537878002458605</v>
      </c>
    </row>
    <row r="41" spans="1:116" x14ac:dyDescent="0.2">
      <c r="A41">
        <v>243241</v>
      </c>
      <c r="B41" t="s">
        <v>537</v>
      </c>
      <c r="C41">
        <v>26</v>
      </c>
      <c r="D41">
        <v>4</v>
      </c>
      <c r="E41" s="1">
        <v>45919</v>
      </c>
      <c r="F41" t="s">
        <v>538</v>
      </c>
      <c r="G41">
        <v>1</v>
      </c>
      <c r="H41">
        <v>0</v>
      </c>
      <c r="I41" t="s">
        <v>539</v>
      </c>
      <c r="J41" t="s">
        <v>71</v>
      </c>
      <c r="K41">
        <v>82</v>
      </c>
      <c r="L41">
        <v>86</v>
      </c>
      <c r="M41">
        <v>37500000</v>
      </c>
      <c r="N41">
        <v>105000</v>
      </c>
      <c r="O41">
        <v>26</v>
      </c>
      <c r="P41" s="1">
        <v>36317</v>
      </c>
      <c r="Q41">
        <v>190</v>
      </c>
      <c r="R41">
        <v>86</v>
      </c>
      <c r="S41">
        <v>31</v>
      </c>
      <c r="T41" t="s">
        <v>250</v>
      </c>
      <c r="U41">
        <v>1</v>
      </c>
      <c r="V41">
        <v>48</v>
      </c>
      <c r="W41" t="s">
        <v>278</v>
      </c>
      <c r="X41" t="s">
        <v>110</v>
      </c>
      <c r="Y41">
        <v>4</v>
      </c>
      <c r="AA41" s="1">
        <v>45486</v>
      </c>
      <c r="AB41">
        <v>2029</v>
      </c>
      <c r="AC41">
        <v>27</v>
      </c>
      <c r="AD41" t="s">
        <v>267</v>
      </c>
      <c r="AH41" t="s">
        <v>18</v>
      </c>
      <c r="AI41">
        <v>3</v>
      </c>
      <c r="AJ41">
        <v>2</v>
      </c>
      <c r="AK41">
        <v>3</v>
      </c>
      <c r="AM41" t="s">
        <v>88</v>
      </c>
      <c r="AN41" t="s">
        <v>254</v>
      </c>
      <c r="AO41">
        <v>66599999</v>
      </c>
      <c r="AQ41">
        <v>0</v>
      </c>
      <c r="AR41" t="s">
        <v>540</v>
      </c>
      <c r="AS41">
        <v>69</v>
      </c>
      <c r="AT41">
        <v>45</v>
      </c>
      <c r="AU41">
        <v>67</v>
      </c>
      <c r="AV41">
        <v>65</v>
      </c>
      <c r="AW41">
        <v>84</v>
      </c>
      <c r="AX41">
        <v>79</v>
      </c>
      <c r="AY41">
        <v>63</v>
      </c>
      <c r="AZ41">
        <v>36</v>
      </c>
      <c r="BA41">
        <v>80</v>
      </c>
      <c r="BB41">
        <v>74</v>
      </c>
      <c r="BC41">
        <v>46</v>
      </c>
      <c r="BD41">
        <v>60</v>
      </c>
      <c r="BE41">
        <v>52</v>
      </c>
      <c r="BF41">
        <v>43</v>
      </c>
      <c r="BG41">
        <v>70</v>
      </c>
      <c r="BH41">
        <v>71</v>
      </c>
      <c r="BI41">
        <v>65</v>
      </c>
      <c r="BJ41">
        <v>72</v>
      </c>
      <c r="BK41">
        <v>59</v>
      </c>
      <c r="BL41">
        <v>84</v>
      </c>
      <c r="BM41">
        <v>58</v>
      </c>
      <c r="BN41">
        <v>65</v>
      </c>
      <c r="BO41">
        <v>83</v>
      </c>
      <c r="BP41">
        <v>78</v>
      </c>
      <c r="BQ41">
        <v>78</v>
      </c>
      <c r="BR41">
        <v>47</v>
      </c>
      <c r="BS41">
        <v>83</v>
      </c>
      <c r="BT41">
        <v>85</v>
      </c>
      <c r="BU41">
        <v>40</v>
      </c>
      <c r="BV41">
        <v>66</v>
      </c>
      <c r="BW41">
        <v>49</v>
      </c>
      <c r="BX41">
        <v>77</v>
      </c>
      <c r="BY41">
        <v>87</v>
      </c>
      <c r="BZ41">
        <v>84</v>
      </c>
      <c r="CA41">
        <v>78</v>
      </c>
      <c r="CB41">
        <v>13</v>
      </c>
      <c r="CC41">
        <v>11</v>
      </c>
      <c r="CD41">
        <v>7</v>
      </c>
      <c r="CE41">
        <v>11</v>
      </c>
      <c r="CF41">
        <v>12</v>
      </c>
      <c r="CH41" t="s">
        <v>39</v>
      </c>
      <c r="CI41" t="s">
        <v>39</v>
      </c>
      <c r="CJ41" t="s">
        <v>39</v>
      </c>
      <c r="CK41" t="s">
        <v>49</v>
      </c>
      <c r="CL41" t="s">
        <v>49</v>
      </c>
      <c r="CM41" t="s">
        <v>49</v>
      </c>
      <c r="CN41" t="s">
        <v>49</v>
      </c>
      <c r="CO41" t="s">
        <v>49</v>
      </c>
      <c r="CP41" t="s">
        <v>318</v>
      </c>
      <c r="CQ41" t="s">
        <v>318</v>
      </c>
      <c r="CR41" t="s">
        <v>318</v>
      </c>
      <c r="CS41" t="s">
        <v>38</v>
      </c>
      <c r="CT41" t="s">
        <v>283</v>
      </c>
      <c r="CU41" t="s">
        <v>283</v>
      </c>
      <c r="CV41" t="s">
        <v>283</v>
      </c>
      <c r="CW41" t="s">
        <v>38</v>
      </c>
      <c r="CX41" t="s">
        <v>24</v>
      </c>
      <c r="CY41" t="s">
        <v>7</v>
      </c>
      <c r="CZ41" t="s">
        <v>7</v>
      </c>
      <c r="DA41" t="s">
        <v>7</v>
      </c>
      <c r="DB41" t="s">
        <v>24</v>
      </c>
      <c r="DC41" t="s">
        <v>10</v>
      </c>
      <c r="DD41" t="s">
        <v>260</v>
      </c>
      <c r="DE41" t="s">
        <v>260</v>
      </c>
      <c r="DF41" t="s">
        <v>260</v>
      </c>
      <c r="DG41" t="s">
        <v>10</v>
      </c>
      <c r="DH41" t="s">
        <v>27</v>
      </c>
      <c r="DI4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12.8145931</v>
      </c>
      <c r="DJ41" t="s">
        <v>541</v>
      </c>
      <c r="DK41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2.3145021056249999</v>
      </c>
      <c r="DL41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12.909609574130002</v>
      </c>
    </row>
    <row r="42" spans="1:116" x14ac:dyDescent="0.2">
      <c r="A42">
        <v>210413</v>
      </c>
      <c r="B42" t="s">
        <v>542</v>
      </c>
      <c r="C42">
        <v>26</v>
      </c>
      <c r="D42">
        <v>4</v>
      </c>
      <c r="E42" s="1">
        <v>45919</v>
      </c>
      <c r="F42" t="s">
        <v>543</v>
      </c>
      <c r="G42">
        <v>1</v>
      </c>
      <c r="H42">
        <v>0</v>
      </c>
      <c r="I42" t="s">
        <v>544</v>
      </c>
      <c r="J42" t="s">
        <v>71</v>
      </c>
      <c r="K42">
        <v>82</v>
      </c>
      <c r="L42">
        <v>82</v>
      </c>
      <c r="M42">
        <v>25000000</v>
      </c>
      <c r="N42">
        <v>46000</v>
      </c>
      <c r="O42">
        <v>30</v>
      </c>
      <c r="P42" s="1">
        <v>34711</v>
      </c>
      <c r="Q42">
        <v>185</v>
      </c>
      <c r="R42">
        <v>75</v>
      </c>
      <c r="S42">
        <v>31</v>
      </c>
      <c r="T42" t="s">
        <v>250</v>
      </c>
      <c r="U42">
        <v>1</v>
      </c>
      <c r="V42">
        <v>46</v>
      </c>
      <c r="W42" t="s">
        <v>365</v>
      </c>
      <c r="X42" t="s">
        <v>112</v>
      </c>
      <c r="Y42">
        <v>13</v>
      </c>
      <c r="AA42" s="1">
        <v>44755</v>
      </c>
      <c r="AB42">
        <v>2027</v>
      </c>
      <c r="AC42">
        <v>27</v>
      </c>
      <c r="AD42" t="s">
        <v>267</v>
      </c>
      <c r="AH42" t="s">
        <v>18</v>
      </c>
      <c r="AI42">
        <v>3</v>
      </c>
      <c r="AJ42">
        <v>2</v>
      </c>
      <c r="AK42">
        <v>3</v>
      </c>
      <c r="AM42" t="s">
        <v>253</v>
      </c>
      <c r="AN42" t="s">
        <v>254</v>
      </c>
      <c r="AO42">
        <v>42500000</v>
      </c>
      <c r="AQ42">
        <v>0</v>
      </c>
      <c r="AR42" t="s">
        <v>545</v>
      </c>
      <c r="AS42">
        <v>64</v>
      </c>
      <c r="AT42">
        <v>40</v>
      </c>
      <c r="AU42">
        <v>55</v>
      </c>
      <c r="AV42">
        <v>69</v>
      </c>
      <c r="AW42">
        <v>84</v>
      </c>
      <c r="AX42">
        <v>80</v>
      </c>
      <c r="AY42">
        <v>36</v>
      </c>
      <c r="AZ42">
        <v>30</v>
      </c>
      <c r="BA42">
        <v>81</v>
      </c>
      <c r="BB42">
        <v>73</v>
      </c>
      <c r="BC42">
        <v>28</v>
      </c>
      <c r="BD42">
        <v>68</v>
      </c>
      <c r="BE42">
        <v>35</v>
      </c>
      <c r="BF42">
        <v>24</v>
      </c>
      <c r="BG42">
        <v>70</v>
      </c>
      <c r="BH42">
        <v>73</v>
      </c>
      <c r="BI42">
        <v>65</v>
      </c>
      <c r="BJ42">
        <v>64</v>
      </c>
      <c r="BK42">
        <v>52</v>
      </c>
      <c r="BL42">
        <v>82</v>
      </c>
      <c r="BM42">
        <v>59</v>
      </c>
      <c r="BN42">
        <v>63</v>
      </c>
      <c r="BO42">
        <v>84</v>
      </c>
      <c r="BP42">
        <v>77</v>
      </c>
      <c r="BQ42">
        <v>80</v>
      </c>
      <c r="BR42">
        <v>46</v>
      </c>
      <c r="BS42">
        <v>82</v>
      </c>
      <c r="BT42">
        <v>84</v>
      </c>
      <c r="BU42">
        <v>31</v>
      </c>
      <c r="BV42">
        <v>45</v>
      </c>
      <c r="BW42">
        <v>34</v>
      </c>
      <c r="BX42">
        <v>77</v>
      </c>
      <c r="BY42">
        <v>84</v>
      </c>
      <c r="BZ42">
        <v>85</v>
      </c>
      <c r="CA42">
        <v>83</v>
      </c>
      <c r="CB42">
        <v>9</v>
      </c>
      <c r="CC42">
        <v>14</v>
      </c>
      <c r="CD42">
        <v>12</v>
      </c>
      <c r="CE42">
        <v>8</v>
      </c>
      <c r="CF42">
        <v>9</v>
      </c>
      <c r="CH42" t="s">
        <v>384</v>
      </c>
      <c r="CI42" t="s">
        <v>384</v>
      </c>
      <c r="CJ42" t="s">
        <v>384</v>
      </c>
      <c r="CK42" t="s">
        <v>134</v>
      </c>
      <c r="CL42" t="s">
        <v>124</v>
      </c>
      <c r="CM42" t="s">
        <v>124</v>
      </c>
      <c r="CN42" t="s">
        <v>124</v>
      </c>
      <c r="CO42" t="s">
        <v>134</v>
      </c>
      <c r="CP42" t="s">
        <v>39</v>
      </c>
      <c r="CQ42" t="s">
        <v>39</v>
      </c>
      <c r="CR42" t="s">
        <v>39</v>
      </c>
      <c r="CS42" t="s">
        <v>39</v>
      </c>
      <c r="CT42" t="s">
        <v>11</v>
      </c>
      <c r="CU42" t="s">
        <v>11</v>
      </c>
      <c r="CV42" t="s">
        <v>11</v>
      </c>
      <c r="CW42" t="s">
        <v>39</v>
      </c>
      <c r="CX42" t="s">
        <v>29</v>
      </c>
      <c r="CY42" t="s">
        <v>10</v>
      </c>
      <c r="CZ42" t="s">
        <v>10</v>
      </c>
      <c r="DA42" t="s">
        <v>10</v>
      </c>
      <c r="DB42" t="s">
        <v>29</v>
      </c>
      <c r="DC42" t="s">
        <v>25</v>
      </c>
      <c r="DD42" t="s">
        <v>9</v>
      </c>
      <c r="DE42" t="s">
        <v>9</v>
      </c>
      <c r="DF42" t="s">
        <v>9</v>
      </c>
      <c r="DG42" t="s">
        <v>25</v>
      </c>
      <c r="DH42" t="s">
        <v>293</v>
      </c>
      <c r="DI4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12.480431799999998</v>
      </c>
      <c r="DJ42" t="s">
        <v>546</v>
      </c>
      <c r="DK42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1.6204660156249999</v>
      </c>
      <c r="DL42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12.56979672480117</v>
      </c>
    </row>
    <row r="43" spans="1:116" x14ac:dyDescent="0.2">
      <c r="A43">
        <v>240679</v>
      </c>
      <c r="B43" t="s">
        <v>547</v>
      </c>
      <c r="C43">
        <v>26</v>
      </c>
      <c r="D43">
        <v>4</v>
      </c>
      <c r="E43" s="1">
        <v>45919</v>
      </c>
      <c r="F43" t="s">
        <v>548</v>
      </c>
      <c r="G43">
        <v>0</v>
      </c>
      <c r="H43">
        <v>1</v>
      </c>
      <c r="I43" t="s">
        <v>549</v>
      </c>
      <c r="J43" t="s">
        <v>115</v>
      </c>
      <c r="K43">
        <v>81</v>
      </c>
      <c r="L43">
        <v>81</v>
      </c>
      <c r="M43">
        <v>27500000</v>
      </c>
      <c r="N43">
        <v>120000</v>
      </c>
      <c r="O43">
        <v>27</v>
      </c>
      <c r="P43" s="1">
        <v>35854</v>
      </c>
      <c r="Q43">
        <v>183</v>
      </c>
      <c r="R43">
        <v>77</v>
      </c>
      <c r="S43">
        <v>31</v>
      </c>
      <c r="T43" t="s">
        <v>250</v>
      </c>
      <c r="U43">
        <v>1</v>
      </c>
      <c r="V43">
        <v>45</v>
      </c>
      <c r="W43" t="s">
        <v>345</v>
      </c>
      <c r="X43" t="s">
        <v>110</v>
      </c>
      <c r="Y43">
        <v>8</v>
      </c>
      <c r="AA43" s="1">
        <v>45532</v>
      </c>
      <c r="AB43">
        <v>2029</v>
      </c>
      <c r="AC43">
        <v>34</v>
      </c>
      <c r="AD43" t="s">
        <v>359</v>
      </c>
      <c r="AE43">
        <v>105035</v>
      </c>
      <c r="AF43" t="s">
        <v>110</v>
      </c>
      <c r="AG43">
        <v>25</v>
      </c>
      <c r="AH43" t="s">
        <v>18</v>
      </c>
      <c r="AI43">
        <v>2</v>
      </c>
      <c r="AJ43">
        <v>3</v>
      </c>
      <c r="AK43">
        <v>3</v>
      </c>
      <c r="AM43" t="s">
        <v>3</v>
      </c>
      <c r="AN43" t="s">
        <v>254</v>
      </c>
      <c r="AO43">
        <v>46800000</v>
      </c>
      <c r="AQ43">
        <v>0</v>
      </c>
      <c r="AR43" t="s">
        <v>550</v>
      </c>
      <c r="AS43">
        <v>70</v>
      </c>
      <c r="AT43">
        <v>79</v>
      </c>
      <c r="AU43">
        <v>83</v>
      </c>
      <c r="AV43">
        <v>78</v>
      </c>
      <c r="AW43">
        <v>75</v>
      </c>
      <c r="AX43">
        <v>75</v>
      </c>
      <c r="AY43">
        <v>79</v>
      </c>
      <c r="AZ43">
        <v>76</v>
      </c>
      <c r="BA43">
        <v>72</v>
      </c>
      <c r="BB43">
        <v>85</v>
      </c>
      <c r="BC43">
        <v>72</v>
      </c>
      <c r="BD43">
        <v>76</v>
      </c>
      <c r="BE43">
        <v>74</v>
      </c>
      <c r="BF43">
        <v>80</v>
      </c>
      <c r="BG43">
        <v>84</v>
      </c>
      <c r="BH43">
        <v>83</v>
      </c>
      <c r="BI43">
        <v>71</v>
      </c>
      <c r="BJ43">
        <v>70</v>
      </c>
      <c r="BK43">
        <v>69</v>
      </c>
      <c r="BL43">
        <v>82</v>
      </c>
      <c r="BM43">
        <v>69</v>
      </c>
      <c r="BN43">
        <v>82</v>
      </c>
      <c r="BO43">
        <v>79</v>
      </c>
      <c r="BP43">
        <v>83</v>
      </c>
      <c r="BQ43">
        <v>71</v>
      </c>
      <c r="BR43">
        <v>84</v>
      </c>
      <c r="BS43">
        <v>72</v>
      </c>
      <c r="BT43">
        <v>78</v>
      </c>
      <c r="BU43">
        <v>80</v>
      </c>
      <c r="BV43">
        <v>84</v>
      </c>
      <c r="BW43">
        <v>85</v>
      </c>
      <c r="BX43">
        <v>81</v>
      </c>
      <c r="BY43">
        <v>76</v>
      </c>
      <c r="BZ43">
        <v>74</v>
      </c>
      <c r="CA43">
        <v>72</v>
      </c>
      <c r="CB43">
        <v>14</v>
      </c>
      <c r="CC43">
        <v>8</v>
      </c>
      <c r="CD43">
        <v>14</v>
      </c>
      <c r="CE43">
        <v>12</v>
      </c>
      <c r="CF43">
        <v>10</v>
      </c>
      <c r="CH43" t="s">
        <v>10</v>
      </c>
      <c r="CI43" t="s">
        <v>10</v>
      </c>
      <c r="CJ43" t="s">
        <v>10</v>
      </c>
      <c r="CK43" t="s">
        <v>44</v>
      </c>
      <c r="CL43" t="s">
        <v>35</v>
      </c>
      <c r="CM43" t="s">
        <v>35</v>
      </c>
      <c r="CN43" t="s">
        <v>35</v>
      </c>
      <c r="CO43" t="s">
        <v>44</v>
      </c>
      <c r="CP43" t="s">
        <v>36</v>
      </c>
      <c r="CQ43" t="s">
        <v>36</v>
      </c>
      <c r="CR43" t="s">
        <v>36</v>
      </c>
      <c r="CS43" t="s">
        <v>31</v>
      </c>
      <c r="CT43" t="s">
        <v>551</v>
      </c>
      <c r="CU43" t="s">
        <v>551</v>
      </c>
      <c r="CV43" t="s">
        <v>551</v>
      </c>
      <c r="CW43" t="s">
        <v>31</v>
      </c>
      <c r="CX43" t="s">
        <v>10</v>
      </c>
      <c r="CY43" t="s">
        <v>26</v>
      </c>
      <c r="CZ43" t="s">
        <v>26</v>
      </c>
      <c r="DA43" t="s">
        <v>26</v>
      </c>
      <c r="DB43" t="s">
        <v>10</v>
      </c>
      <c r="DC43" t="s">
        <v>30</v>
      </c>
      <c r="DD43" t="s">
        <v>25</v>
      </c>
      <c r="DE43" t="s">
        <v>25</v>
      </c>
      <c r="DF43" t="s">
        <v>25</v>
      </c>
      <c r="DG43" t="s">
        <v>30</v>
      </c>
      <c r="DH43" t="s">
        <v>27</v>
      </c>
      <c r="DI4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12.740536299999999</v>
      </c>
      <c r="DJ43" t="s">
        <v>552</v>
      </c>
      <c r="DK43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3.0711886100000001</v>
      </c>
      <c r="DL43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12.79436758909007</v>
      </c>
    </row>
    <row r="44" spans="1:116" x14ac:dyDescent="0.2">
      <c r="A44">
        <v>208574</v>
      </c>
      <c r="B44" t="s">
        <v>553</v>
      </c>
      <c r="C44">
        <v>26</v>
      </c>
      <c r="D44">
        <v>4</v>
      </c>
      <c r="E44" s="1">
        <v>45919</v>
      </c>
      <c r="F44" t="s">
        <v>554</v>
      </c>
      <c r="G44">
        <v>1</v>
      </c>
      <c r="H44">
        <v>0</v>
      </c>
      <c r="I44" t="s">
        <v>555</v>
      </c>
      <c r="J44" t="s">
        <v>556</v>
      </c>
      <c r="K44">
        <v>81</v>
      </c>
      <c r="L44">
        <v>81</v>
      </c>
      <c r="M44">
        <v>20500000</v>
      </c>
      <c r="N44">
        <v>125000</v>
      </c>
      <c r="O44">
        <v>32</v>
      </c>
      <c r="P44" s="1">
        <v>33909</v>
      </c>
      <c r="Q44">
        <v>184</v>
      </c>
      <c r="R44">
        <v>84</v>
      </c>
      <c r="S44">
        <v>31</v>
      </c>
      <c r="T44" t="s">
        <v>250</v>
      </c>
      <c r="U44">
        <v>1</v>
      </c>
      <c r="V44">
        <v>45</v>
      </c>
      <c r="W44" t="s">
        <v>345</v>
      </c>
      <c r="X44" t="s">
        <v>110</v>
      </c>
      <c r="Y44">
        <v>18</v>
      </c>
      <c r="AA44" s="1">
        <v>44785</v>
      </c>
      <c r="AB44">
        <v>2026</v>
      </c>
      <c r="AC44">
        <v>51</v>
      </c>
      <c r="AD44" t="s">
        <v>516</v>
      </c>
      <c r="AH44" t="s">
        <v>18</v>
      </c>
      <c r="AI44">
        <v>2</v>
      </c>
      <c r="AJ44">
        <v>3</v>
      </c>
      <c r="AK44">
        <v>3</v>
      </c>
      <c r="AM44" t="s">
        <v>3</v>
      </c>
      <c r="AN44" t="s">
        <v>254</v>
      </c>
      <c r="AO44">
        <v>34900000</v>
      </c>
      <c r="AP44" t="s">
        <v>325</v>
      </c>
      <c r="AQ44">
        <v>0</v>
      </c>
      <c r="AR44" t="s">
        <v>557</v>
      </c>
      <c r="AS44">
        <v>82</v>
      </c>
      <c r="AT44">
        <v>76</v>
      </c>
      <c r="AU44">
        <v>81</v>
      </c>
      <c r="AV44">
        <v>80</v>
      </c>
      <c r="AW44">
        <v>70</v>
      </c>
      <c r="AX44">
        <v>77</v>
      </c>
      <c r="AY44">
        <v>87</v>
      </c>
      <c r="AZ44">
        <v>71</v>
      </c>
      <c r="BA44">
        <v>59</v>
      </c>
      <c r="BB44">
        <v>80</v>
      </c>
      <c r="BC44">
        <v>75</v>
      </c>
      <c r="BD44">
        <v>81</v>
      </c>
      <c r="BE44">
        <v>85</v>
      </c>
      <c r="BF44">
        <v>80</v>
      </c>
      <c r="BG44">
        <v>79</v>
      </c>
      <c r="BH44">
        <v>81</v>
      </c>
      <c r="BI44">
        <v>79</v>
      </c>
      <c r="BJ44">
        <v>84</v>
      </c>
      <c r="BK44">
        <v>76</v>
      </c>
      <c r="BL44">
        <v>77</v>
      </c>
      <c r="BM44">
        <v>78</v>
      </c>
      <c r="BN44">
        <v>85</v>
      </c>
      <c r="BO44">
        <v>78</v>
      </c>
      <c r="BP44">
        <v>78</v>
      </c>
      <c r="BQ44">
        <v>77</v>
      </c>
      <c r="BR44">
        <v>78</v>
      </c>
      <c r="BS44">
        <v>76</v>
      </c>
      <c r="BT44">
        <v>69</v>
      </c>
      <c r="BU44">
        <v>78</v>
      </c>
      <c r="BV44">
        <v>78</v>
      </c>
      <c r="BW44">
        <v>66</v>
      </c>
      <c r="BX44">
        <v>82</v>
      </c>
      <c r="BY44">
        <v>70</v>
      </c>
      <c r="BZ44">
        <v>74</v>
      </c>
      <c r="CA44">
        <v>72</v>
      </c>
      <c r="CB44">
        <v>13</v>
      </c>
      <c r="CC44">
        <v>14</v>
      </c>
      <c r="CD44">
        <v>12</v>
      </c>
      <c r="CE44">
        <v>12</v>
      </c>
      <c r="CF44">
        <v>13</v>
      </c>
      <c r="CH44" t="s">
        <v>24</v>
      </c>
      <c r="CI44" t="s">
        <v>24</v>
      </c>
      <c r="CJ44" t="s">
        <v>24</v>
      </c>
      <c r="CK44" t="s">
        <v>44</v>
      </c>
      <c r="CL44" t="s">
        <v>44</v>
      </c>
      <c r="CM44" t="s">
        <v>44</v>
      </c>
      <c r="CN44" t="s">
        <v>44</v>
      </c>
      <c r="CO44" t="s">
        <v>44</v>
      </c>
      <c r="CP44" t="s">
        <v>26</v>
      </c>
      <c r="CQ44" t="s">
        <v>26</v>
      </c>
      <c r="CR44" t="s">
        <v>26</v>
      </c>
      <c r="CS44" t="s">
        <v>31</v>
      </c>
      <c r="CT44" t="s">
        <v>10</v>
      </c>
      <c r="CU44" t="s">
        <v>10</v>
      </c>
      <c r="CV44" t="s">
        <v>10</v>
      </c>
      <c r="CW44" t="s">
        <v>31</v>
      </c>
      <c r="CX44" t="s">
        <v>30</v>
      </c>
      <c r="CY44" t="s">
        <v>24</v>
      </c>
      <c r="CZ44" t="s">
        <v>24</v>
      </c>
      <c r="DA44" t="s">
        <v>24</v>
      </c>
      <c r="DB44" t="s">
        <v>30</v>
      </c>
      <c r="DC44" t="s">
        <v>24</v>
      </c>
      <c r="DD44" t="s">
        <v>29</v>
      </c>
      <c r="DE44" t="s">
        <v>29</v>
      </c>
      <c r="DF44" t="s">
        <v>29</v>
      </c>
      <c r="DG44" t="s">
        <v>24</v>
      </c>
      <c r="DH44" t="s">
        <v>32</v>
      </c>
      <c r="DI4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13.619503099999999</v>
      </c>
      <c r="DJ44" t="s">
        <v>558</v>
      </c>
      <c r="DK44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3.0436304639062497</v>
      </c>
      <c r="DL44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13.756649386830814</v>
      </c>
    </row>
    <row r="45" spans="1:116" x14ac:dyDescent="0.2">
      <c r="A45">
        <v>258648</v>
      </c>
      <c r="B45" t="s">
        <v>559</v>
      </c>
      <c r="C45">
        <v>26</v>
      </c>
      <c r="D45">
        <v>4</v>
      </c>
      <c r="E45" s="1">
        <v>45919</v>
      </c>
      <c r="F45" t="s">
        <v>560</v>
      </c>
      <c r="G45">
        <v>1</v>
      </c>
      <c r="H45">
        <v>0</v>
      </c>
      <c r="I45" t="s">
        <v>561</v>
      </c>
      <c r="J45" t="s">
        <v>130</v>
      </c>
      <c r="K45">
        <v>81</v>
      </c>
      <c r="L45">
        <v>82</v>
      </c>
      <c r="M45">
        <v>27500000</v>
      </c>
      <c r="N45">
        <v>38000</v>
      </c>
      <c r="O45">
        <v>26</v>
      </c>
      <c r="P45" s="1">
        <v>36167</v>
      </c>
      <c r="Q45">
        <v>184</v>
      </c>
      <c r="R45">
        <v>75</v>
      </c>
      <c r="S45">
        <v>31</v>
      </c>
      <c r="T45" t="s">
        <v>250</v>
      </c>
      <c r="U45">
        <v>1</v>
      </c>
      <c r="V45">
        <v>44</v>
      </c>
      <c r="W45" t="s">
        <v>251</v>
      </c>
      <c r="X45" t="s">
        <v>110</v>
      </c>
      <c r="Y45">
        <v>30</v>
      </c>
      <c r="AA45" s="1">
        <v>45474</v>
      </c>
      <c r="AB45">
        <v>2028</v>
      </c>
      <c r="AC45">
        <v>54</v>
      </c>
      <c r="AD45" t="s">
        <v>1</v>
      </c>
      <c r="AH45" t="s">
        <v>18</v>
      </c>
      <c r="AI45">
        <v>2</v>
      </c>
      <c r="AJ45">
        <v>3</v>
      </c>
      <c r="AK45">
        <v>3</v>
      </c>
      <c r="AM45" t="s">
        <v>3</v>
      </c>
      <c r="AN45" t="s">
        <v>4</v>
      </c>
      <c r="AO45">
        <v>47400000</v>
      </c>
      <c r="AQ45">
        <v>0</v>
      </c>
      <c r="AR45" t="s">
        <v>562</v>
      </c>
      <c r="AS45">
        <v>78</v>
      </c>
      <c r="AT45">
        <v>72</v>
      </c>
      <c r="AU45">
        <v>77</v>
      </c>
      <c r="AV45">
        <v>79</v>
      </c>
      <c r="AW45">
        <v>79</v>
      </c>
      <c r="AX45">
        <v>76</v>
      </c>
      <c r="AY45">
        <v>79</v>
      </c>
      <c r="AZ45">
        <v>68</v>
      </c>
      <c r="BA45">
        <v>76</v>
      </c>
      <c r="BB45">
        <v>78</v>
      </c>
      <c r="BC45">
        <v>73</v>
      </c>
      <c r="BD45">
        <v>80</v>
      </c>
      <c r="BE45">
        <v>77</v>
      </c>
      <c r="BF45">
        <v>74</v>
      </c>
      <c r="BG45">
        <v>74</v>
      </c>
      <c r="BH45">
        <v>80</v>
      </c>
      <c r="BI45">
        <v>79</v>
      </c>
      <c r="BJ45">
        <v>78</v>
      </c>
      <c r="BK45">
        <v>79</v>
      </c>
      <c r="BL45">
        <v>81</v>
      </c>
      <c r="BM45">
        <v>72</v>
      </c>
      <c r="BN45">
        <v>79</v>
      </c>
      <c r="BO45">
        <v>85</v>
      </c>
      <c r="BP45">
        <v>80</v>
      </c>
      <c r="BQ45">
        <v>72</v>
      </c>
      <c r="BR45">
        <v>77</v>
      </c>
      <c r="BS45">
        <v>80</v>
      </c>
      <c r="BT45">
        <v>79</v>
      </c>
      <c r="BU45">
        <v>79</v>
      </c>
      <c r="BV45">
        <v>76</v>
      </c>
      <c r="BW45">
        <v>52</v>
      </c>
      <c r="BX45">
        <v>78</v>
      </c>
      <c r="BY45">
        <v>79</v>
      </c>
      <c r="BZ45">
        <v>80</v>
      </c>
      <c r="CA45">
        <v>79</v>
      </c>
      <c r="CB45">
        <v>11</v>
      </c>
      <c r="CC45">
        <v>12</v>
      </c>
      <c r="CD45">
        <v>5</v>
      </c>
      <c r="CE45">
        <v>12</v>
      </c>
      <c r="CF45">
        <v>13</v>
      </c>
      <c r="CH45" t="s">
        <v>24</v>
      </c>
      <c r="CI45" t="s">
        <v>24</v>
      </c>
      <c r="CJ45" t="s">
        <v>24</v>
      </c>
      <c r="CK45" t="s">
        <v>66</v>
      </c>
      <c r="CL45" t="s">
        <v>66</v>
      </c>
      <c r="CM45" t="s">
        <v>66</v>
      </c>
      <c r="CN45" t="s">
        <v>66</v>
      </c>
      <c r="CO45" t="s">
        <v>66</v>
      </c>
      <c r="CP45" t="s">
        <v>10</v>
      </c>
      <c r="CQ45" t="s">
        <v>10</v>
      </c>
      <c r="CR45" t="s">
        <v>10</v>
      </c>
      <c r="CS45" t="s">
        <v>10</v>
      </c>
      <c r="CT45" t="s">
        <v>10</v>
      </c>
      <c r="CU45" t="s">
        <v>10</v>
      </c>
      <c r="CV45" t="s">
        <v>10</v>
      </c>
      <c r="CW45" t="s">
        <v>10</v>
      </c>
      <c r="CX45" t="s">
        <v>7</v>
      </c>
      <c r="CY45" t="s">
        <v>10</v>
      </c>
      <c r="CZ45" t="s">
        <v>10</v>
      </c>
      <c r="DA45" t="s">
        <v>10</v>
      </c>
      <c r="DB45" t="s">
        <v>7</v>
      </c>
      <c r="DC45" t="s">
        <v>7</v>
      </c>
      <c r="DD45" t="s">
        <v>10</v>
      </c>
      <c r="DE45" t="s">
        <v>10</v>
      </c>
      <c r="DF45" t="s">
        <v>10</v>
      </c>
      <c r="DG45" t="s">
        <v>7</v>
      </c>
      <c r="DH45" t="s">
        <v>27</v>
      </c>
      <c r="DI4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13.420287399999998</v>
      </c>
      <c r="DJ45" t="s">
        <v>563</v>
      </c>
      <c r="DK45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2.8572682024999998</v>
      </c>
      <c r="DL45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13.581541398458869</v>
      </c>
    </row>
    <row r="46" spans="1:116" x14ac:dyDescent="0.2">
      <c r="A46">
        <v>247246</v>
      </c>
      <c r="B46" t="s">
        <v>564</v>
      </c>
      <c r="C46">
        <v>26</v>
      </c>
      <c r="D46">
        <v>4</v>
      </c>
      <c r="E46" s="1">
        <v>45919</v>
      </c>
      <c r="F46" t="s">
        <v>565</v>
      </c>
      <c r="G46">
        <v>0</v>
      </c>
      <c r="H46">
        <v>1</v>
      </c>
      <c r="I46" t="s">
        <v>566</v>
      </c>
      <c r="J46" t="s">
        <v>443</v>
      </c>
      <c r="K46">
        <v>81</v>
      </c>
      <c r="L46">
        <v>85</v>
      </c>
      <c r="M46">
        <v>36500000</v>
      </c>
      <c r="N46">
        <v>105000</v>
      </c>
      <c r="O46">
        <v>24</v>
      </c>
      <c r="P46" s="1">
        <v>36976</v>
      </c>
      <c r="Q46">
        <v>192</v>
      </c>
      <c r="R46">
        <v>80</v>
      </c>
      <c r="S46">
        <v>31</v>
      </c>
      <c r="T46" t="s">
        <v>250</v>
      </c>
      <c r="U46">
        <v>1</v>
      </c>
      <c r="V46">
        <v>45</v>
      </c>
      <c r="W46" t="s">
        <v>345</v>
      </c>
      <c r="X46" t="s">
        <v>116</v>
      </c>
      <c r="Y46">
        <v>19</v>
      </c>
      <c r="AA46" s="1">
        <v>45482</v>
      </c>
      <c r="AB46">
        <v>2029</v>
      </c>
      <c r="AC46">
        <v>18</v>
      </c>
      <c r="AD46" t="s">
        <v>296</v>
      </c>
      <c r="AH46" t="s">
        <v>2</v>
      </c>
      <c r="AI46">
        <v>3</v>
      </c>
      <c r="AJ46">
        <v>3</v>
      </c>
      <c r="AK46">
        <v>3</v>
      </c>
      <c r="AM46" t="s">
        <v>127</v>
      </c>
      <c r="AN46" t="s">
        <v>254</v>
      </c>
      <c r="AO46">
        <v>64800000</v>
      </c>
      <c r="AQ46">
        <v>0</v>
      </c>
      <c r="AR46" t="s">
        <v>567</v>
      </c>
      <c r="AS46">
        <v>78</v>
      </c>
      <c r="AT46">
        <v>76</v>
      </c>
      <c r="AU46">
        <v>77</v>
      </c>
      <c r="AV46">
        <v>80</v>
      </c>
      <c r="AW46">
        <v>81</v>
      </c>
      <c r="AX46">
        <v>81</v>
      </c>
      <c r="AY46">
        <v>72</v>
      </c>
      <c r="AZ46">
        <v>77</v>
      </c>
      <c r="BA46">
        <v>76</v>
      </c>
      <c r="BB46">
        <v>83</v>
      </c>
      <c r="BC46">
        <v>65</v>
      </c>
      <c r="BD46">
        <v>81</v>
      </c>
      <c r="BE46">
        <v>72</v>
      </c>
      <c r="BF46">
        <v>56</v>
      </c>
      <c r="BG46">
        <v>80</v>
      </c>
      <c r="BH46">
        <v>83</v>
      </c>
      <c r="BI46">
        <v>76</v>
      </c>
      <c r="BJ46">
        <v>80</v>
      </c>
      <c r="BK46">
        <v>75</v>
      </c>
      <c r="BL46">
        <v>79</v>
      </c>
      <c r="BM46">
        <v>65</v>
      </c>
      <c r="BN46">
        <v>79</v>
      </c>
      <c r="BO46">
        <v>87</v>
      </c>
      <c r="BP46">
        <v>81</v>
      </c>
      <c r="BQ46">
        <v>79</v>
      </c>
      <c r="BR46">
        <v>75</v>
      </c>
      <c r="BS46">
        <v>84</v>
      </c>
      <c r="BT46">
        <v>81</v>
      </c>
      <c r="BU46">
        <v>78</v>
      </c>
      <c r="BV46">
        <v>78</v>
      </c>
      <c r="BW46">
        <v>60</v>
      </c>
      <c r="BX46">
        <v>82</v>
      </c>
      <c r="BY46">
        <v>80</v>
      </c>
      <c r="BZ46">
        <v>84</v>
      </c>
      <c r="CA46">
        <v>75</v>
      </c>
      <c r="CB46">
        <v>7</v>
      </c>
      <c r="CC46">
        <v>9</v>
      </c>
      <c r="CD46">
        <v>14</v>
      </c>
      <c r="CE46">
        <v>11</v>
      </c>
      <c r="CF46">
        <v>9</v>
      </c>
      <c r="CH46" t="s">
        <v>10</v>
      </c>
      <c r="CI46" t="s">
        <v>10</v>
      </c>
      <c r="CJ46" t="s">
        <v>10</v>
      </c>
      <c r="CK46" t="s">
        <v>44</v>
      </c>
      <c r="CL46" t="s">
        <v>44</v>
      </c>
      <c r="CM46" t="s">
        <v>44</v>
      </c>
      <c r="CN46" t="s">
        <v>44</v>
      </c>
      <c r="CO46" t="s">
        <v>44</v>
      </c>
      <c r="CP46" t="s">
        <v>269</v>
      </c>
      <c r="CQ46" t="s">
        <v>269</v>
      </c>
      <c r="CR46" t="s">
        <v>269</v>
      </c>
      <c r="CS46" t="s">
        <v>7</v>
      </c>
      <c r="CT46" t="s">
        <v>305</v>
      </c>
      <c r="CU46" t="s">
        <v>305</v>
      </c>
      <c r="CV46" t="s">
        <v>305</v>
      </c>
      <c r="CW46" t="s">
        <v>7</v>
      </c>
      <c r="CX46" t="s">
        <v>7</v>
      </c>
      <c r="CY46" t="s">
        <v>305</v>
      </c>
      <c r="CZ46" t="s">
        <v>305</v>
      </c>
      <c r="DA46" t="s">
        <v>305</v>
      </c>
      <c r="DB46" t="s">
        <v>7</v>
      </c>
      <c r="DC46" t="s">
        <v>7</v>
      </c>
      <c r="DD46" t="s">
        <v>305</v>
      </c>
      <c r="DE46" t="s">
        <v>305</v>
      </c>
      <c r="DF46" t="s">
        <v>305</v>
      </c>
      <c r="DG46" t="s">
        <v>7</v>
      </c>
      <c r="DH46" t="s">
        <v>46</v>
      </c>
      <c r="DI4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13.5822404</v>
      </c>
      <c r="DJ46" t="s">
        <v>568</v>
      </c>
      <c r="DK46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2.8567690625000002</v>
      </c>
      <c r="DL46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13.703883616439688</v>
      </c>
    </row>
    <row r="47" spans="1:116" x14ac:dyDescent="0.2">
      <c r="A47">
        <v>239807</v>
      </c>
      <c r="B47" t="s">
        <v>569</v>
      </c>
      <c r="C47">
        <v>26</v>
      </c>
      <c r="D47">
        <v>4</v>
      </c>
      <c r="E47" s="1">
        <v>45919</v>
      </c>
      <c r="F47" t="s">
        <v>570</v>
      </c>
      <c r="G47">
        <v>0</v>
      </c>
      <c r="H47">
        <v>1</v>
      </c>
      <c r="I47" t="s">
        <v>571</v>
      </c>
      <c r="J47" t="s">
        <v>266</v>
      </c>
      <c r="K47">
        <v>81</v>
      </c>
      <c r="L47">
        <v>83</v>
      </c>
      <c r="M47">
        <v>32000000</v>
      </c>
      <c r="N47">
        <v>38000</v>
      </c>
      <c r="O47">
        <v>25</v>
      </c>
      <c r="P47" s="1">
        <v>36425</v>
      </c>
      <c r="Q47">
        <v>178</v>
      </c>
      <c r="R47">
        <v>74</v>
      </c>
      <c r="S47">
        <v>31</v>
      </c>
      <c r="T47" t="s">
        <v>250</v>
      </c>
      <c r="U47">
        <v>1</v>
      </c>
      <c r="V47">
        <v>44</v>
      </c>
      <c r="W47" t="s">
        <v>251</v>
      </c>
      <c r="X47" t="s">
        <v>110</v>
      </c>
      <c r="Y47">
        <v>16</v>
      </c>
      <c r="AA47" s="1">
        <v>45474</v>
      </c>
      <c r="AB47">
        <v>2028</v>
      </c>
      <c r="AC47">
        <v>27</v>
      </c>
      <c r="AD47" t="s">
        <v>267</v>
      </c>
      <c r="AE47">
        <v>1343</v>
      </c>
      <c r="AF47" t="s">
        <v>110</v>
      </c>
      <c r="AG47">
        <v>16</v>
      </c>
      <c r="AH47" t="s">
        <v>2</v>
      </c>
      <c r="AI47">
        <v>4</v>
      </c>
      <c r="AJ47">
        <v>3</v>
      </c>
      <c r="AK47">
        <v>3</v>
      </c>
      <c r="AM47" t="s">
        <v>3</v>
      </c>
      <c r="AN47" t="s">
        <v>254</v>
      </c>
      <c r="AO47">
        <v>55200000</v>
      </c>
      <c r="AQ47">
        <v>0</v>
      </c>
      <c r="AR47" t="s">
        <v>6</v>
      </c>
      <c r="AS47">
        <v>82</v>
      </c>
      <c r="AT47">
        <v>77</v>
      </c>
      <c r="AU47">
        <v>78</v>
      </c>
      <c r="AV47">
        <v>82</v>
      </c>
      <c r="AW47">
        <v>73</v>
      </c>
      <c r="AX47">
        <v>72</v>
      </c>
      <c r="AY47">
        <v>67</v>
      </c>
      <c r="AZ47">
        <v>79</v>
      </c>
      <c r="BA47">
        <v>71</v>
      </c>
      <c r="BB47">
        <v>84</v>
      </c>
      <c r="BC47">
        <v>71</v>
      </c>
      <c r="BD47">
        <v>82</v>
      </c>
      <c r="BE47">
        <v>71</v>
      </c>
      <c r="BF47">
        <v>65</v>
      </c>
      <c r="BG47">
        <v>79</v>
      </c>
      <c r="BH47">
        <v>83</v>
      </c>
      <c r="BI47">
        <v>84</v>
      </c>
      <c r="BJ47">
        <v>80</v>
      </c>
      <c r="BK47">
        <v>78</v>
      </c>
      <c r="BL47">
        <v>83</v>
      </c>
      <c r="BM47">
        <v>75</v>
      </c>
      <c r="BN47">
        <v>76</v>
      </c>
      <c r="BO47">
        <v>81</v>
      </c>
      <c r="BP47">
        <v>80</v>
      </c>
      <c r="BQ47">
        <v>64</v>
      </c>
      <c r="BR47">
        <v>74</v>
      </c>
      <c r="BS47">
        <v>79</v>
      </c>
      <c r="BT47">
        <v>74</v>
      </c>
      <c r="BU47">
        <v>85</v>
      </c>
      <c r="BV47">
        <v>83</v>
      </c>
      <c r="BW47">
        <v>64</v>
      </c>
      <c r="BX47">
        <v>81</v>
      </c>
      <c r="BY47">
        <v>70</v>
      </c>
      <c r="BZ47">
        <v>77</v>
      </c>
      <c r="CA47">
        <v>72</v>
      </c>
      <c r="CB47">
        <v>5</v>
      </c>
      <c r="CC47">
        <v>10</v>
      </c>
      <c r="CD47">
        <v>8</v>
      </c>
      <c r="CE47">
        <v>11</v>
      </c>
      <c r="CF47">
        <v>10</v>
      </c>
      <c r="CH47" t="s">
        <v>7</v>
      </c>
      <c r="CI47" t="s">
        <v>7</v>
      </c>
      <c r="CJ47" t="s">
        <v>7</v>
      </c>
      <c r="CK47" t="s">
        <v>36</v>
      </c>
      <c r="CL47" t="s">
        <v>9</v>
      </c>
      <c r="CM47" t="s">
        <v>9</v>
      </c>
      <c r="CN47" t="s">
        <v>9</v>
      </c>
      <c r="CO47" t="s">
        <v>36</v>
      </c>
      <c r="CP47" t="s">
        <v>426</v>
      </c>
      <c r="CQ47" t="s">
        <v>426</v>
      </c>
      <c r="CR47" t="s">
        <v>426</v>
      </c>
      <c r="CS47" t="s">
        <v>419</v>
      </c>
      <c r="CT47" t="s">
        <v>419</v>
      </c>
      <c r="CU47" t="s">
        <v>419</v>
      </c>
      <c r="CV47" t="s">
        <v>419</v>
      </c>
      <c r="CW47" t="s">
        <v>419</v>
      </c>
      <c r="CX47" t="s">
        <v>30</v>
      </c>
      <c r="CY47" t="s">
        <v>10</v>
      </c>
      <c r="CZ47" t="s">
        <v>10</v>
      </c>
      <c r="DA47" t="s">
        <v>10</v>
      </c>
      <c r="DB47" t="s">
        <v>30</v>
      </c>
      <c r="DC47" t="s">
        <v>24</v>
      </c>
      <c r="DD47" t="s">
        <v>23</v>
      </c>
      <c r="DE47" t="s">
        <v>23</v>
      </c>
      <c r="DF47" t="s">
        <v>23</v>
      </c>
      <c r="DG47" t="s">
        <v>24</v>
      </c>
      <c r="DH47" t="s">
        <v>46</v>
      </c>
      <c r="DI4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13.369006600000001</v>
      </c>
      <c r="DJ47" t="s">
        <v>572</v>
      </c>
      <c r="DK47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2.9143314414062496</v>
      </c>
      <c r="DL47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13.515382961768603</v>
      </c>
    </row>
    <row r="48" spans="1:116" x14ac:dyDescent="0.2">
      <c r="A48">
        <v>261865</v>
      </c>
      <c r="B48" t="s">
        <v>573</v>
      </c>
      <c r="C48">
        <v>26</v>
      </c>
      <c r="D48">
        <v>4</v>
      </c>
      <c r="E48" s="1">
        <v>45919</v>
      </c>
      <c r="F48" t="s">
        <v>574</v>
      </c>
      <c r="G48">
        <v>1</v>
      </c>
      <c r="H48">
        <v>0</v>
      </c>
      <c r="I48" t="s">
        <v>575</v>
      </c>
      <c r="J48" t="s">
        <v>82</v>
      </c>
      <c r="K48">
        <v>81</v>
      </c>
      <c r="L48">
        <v>85</v>
      </c>
      <c r="M48">
        <v>34500000</v>
      </c>
      <c r="N48">
        <v>84000</v>
      </c>
      <c r="O48">
        <v>23</v>
      </c>
      <c r="P48" s="1">
        <v>37099</v>
      </c>
      <c r="Q48">
        <v>180</v>
      </c>
      <c r="R48">
        <v>73</v>
      </c>
      <c r="S48">
        <v>31</v>
      </c>
      <c r="T48" t="s">
        <v>250</v>
      </c>
      <c r="U48">
        <v>1</v>
      </c>
      <c r="V48">
        <v>48</v>
      </c>
      <c r="W48" t="s">
        <v>278</v>
      </c>
      <c r="X48" t="s">
        <v>110</v>
      </c>
      <c r="Y48">
        <v>3</v>
      </c>
      <c r="AA48" s="1">
        <v>45890</v>
      </c>
      <c r="AB48">
        <v>2030</v>
      </c>
      <c r="AC48">
        <v>45</v>
      </c>
      <c r="AD48" t="s">
        <v>349</v>
      </c>
      <c r="AH48" t="s">
        <v>18</v>
      </c>
      <c r="AI48">
        <v>3</v>
      </c>
      <c r="AJ48">
        <v>2</v>
      </c>
      <c r="AK48">
        <v>3</v>
      </c>
      <c r="AM48" t="s">
        <v>19</v>
      </c>
      <c r="AN48" t="s">
        <v>254</v>
      </c>
      <c r="AO48">
        <v>61200000</v>
      </c>
      <c r="AQ48">
        <v>0</v>
      </c>
      <c r="AR48" t="s">
        <v>576</v>
      </c>
      <c r="AS48">
        <v>81</v>
      </c>
      <c r="AT48">
        <v>71</v>
      </c>
      <c r="AU48">
        <v>79</v>
      </c>
      <c r="AV48">
        <v>81</v>
      </c>
      <c r="AW48">
        <v>76</v>
      </c>
      <c r="AX48">
        <v>73</v>
      </c>
      <c r="AY48">
        <v>84</v>
      </c>
      <c r="AZ48">
        <v>72</v>
      </c>
      <c r="BA48">
        <v>68</v>
      </c>
      <c r="BB48">
        <v>82</v>
      </c>
      <c r="BC48">
        <v>60</v>
      </c>
      <c r="BD48">
        <v>81</v>
      </c>
      <c r="BE48">
        <v>83</v>
      </c>
      <c r="BF48">
        <v>45</v>
      </c>
      <c r="BG48">
        <v>76</v>
      </c>
      <c r="BH48">
        <v>82</v>
      </c>
      <c r="BI48">
        <v>82</v>
      </c>
      <c r="BJ48">
        <v>80</v>
      </c>
      <c r="BK48">
        <v>82</v>
      </c>
      <c r="BL48">
        <v>80</v>
      </c>
      <c r="BM48">
        <v>75</v>
      </c>
      <c r="BN48">
        <v>76</v>
      </c>
      <c r="BO48">
        <v>78</v>
      </c>
      <c r="BP48">
        <v>85</v>
      </c>
      <c r="BQ48">
        <v>66</v>
      </c>
      <c r="BR48">
        <v>66</v>
      </c>
      <c r="BS48">
        <v>73</v>
      </c>
      <c r="BT48">
        <v>77</v>
      </c>
      <c r="BU48">
        <v>81</v>
      </c>
      <c r="BV48">
        <v>80</v>
      </c>
      <c r="BW48">
        <v>62</v>
      </c>
      <c r="BX48">
        <v>75</v>
      </c>
      <c r="BY48">
        <v>76</v>
      </c>
      <c r="BZ48">
        <v>78</v>
      </c>
      <c r="CA48">
        <v>76</v>
      </c>
      <c r="CB48">
        <v>14</v>
      </c>
      <c r="CC48">
        <v>10</v>
      </c>
      <c r="CD48">
        <v>8</v>
      </c>
      <c r="CE48">
        <v>6</v>
      </c>
      <c r="CF48">
        <v>10</v>
      </c>
      <c r="CH48" t="s">
        <v>24</v>
      </c>
      <c r="CI48" t="s">
        <v>24</v>
      </c>
      <c r="CJ48" t="s">
        <v>24</v>
      </c>
      <c r="CK48" t="s">
        <v>35</v>
      </c>
      <c r="CL48" t="s">
        <v>44</v>
      </c>
      <c r="CM48" t="s">
        <v>44</v>
      </c>
      <c r="CN48" t="s">
        <v>44</v>
      </c>
      <c r="CO48" t="s">
        <v>35</v>
      </c>
      <c r="CP48" t="s">
        <v>269</v>
      </c>
      <c r="CQ48" t="s">
        <v>269</v>
      </c>
      <c r="CR48" t="s">
        <v>269</v>
      </c>
      <c r="CS48" t="s">
        <v>305</v>
      </c>
      <c r="CT48" t="s">
        <v>269</v>
      </c>
      <c r="CU48" t="s">
        <v>269</v>
      </c>
      <c r="CV48" t="s">
        <v>269</v>
      </c>
      <c r="CW48" t="s">
        <v>305</v>
      </c>
      <c r="CX48" t="s">
        <v>269</v>
      </c>
      <c r="CY48" t="s">
        <v>10</v>
      </c>
      <c r="CZ48" t="s">
        <v>10</v>
      </c>
      <c r="DA48" t="s">
        <v>10</v>
      </c>
      <c r="DB48" t="s">
        <v>269</v>
      </c>
      <c r="DC48" t="s">
        <v>7</v>
      </c>
      <c r="DD48" t="s">
        <v>25</v>
      </c>
      <c r="DE48" t="s">
        <v>25</v>
      </c>
      <c r="DF48" t="s">
        <v>25</v>
      </c>
      <c r="DG48" t="s">
        <v>7</v>
      </c>
      <c r="DH48" t="s">
        <v>293</v>
      </c>
      <c r="DI4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13.196308300000002</v>
      </c>
      <c r="DJ48" t="s">
        <v>577</v>
      </c>
      <c r="DK48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2.9738126406250003</v>
      </c>
      <c r="DL48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13.366644278870046</v>
      </c>
    </row>
    <row r="49" spans="1:116" x14ac:dyDescent="0.2">
      <c r="A49">
        <v>208461</v>
      </c>
      <c r="B49" t="s">
        <v>578</v>
      </c>
      <c r="C49">
        <v>26</v>
      </c>
      <c r="D49">
        <v>4</v>
      </c>
      <c r="E49" s="1">
        <v>45919</v>
      </c>
      <c r="F49" t="s">
        <v>579</v>
      </c>
      <c r="G49">
        <v>0</v>
      </c>
      <c r="H49">
        <v>1</v>
      </c>
      <c r="I49" t="s">
        <v>580</v>
      </c>
      <c r="J49" t="s">
        <v>443</v>
      </c>
      <c r="K49">
        <v>81</v>
      </c>
      <c r="L49">
        <v>81</v>
      </c>
      <c r="M49">
        <v>12000000</v>
      </c>
      <c r="N49">
        <v>78000</v>
      </c>
      <c r="O49">
        <v>34</v>
      </c>
      <c r="P49" s="1">
        <v>33326</v>
      </c>
      <c r="Q49">
        <v>186</v>
      </c>
      <c r="R49">
        <v>76</v>
      </c>
      <c r="S49">
        <v>31</v>
      </c>
      <c r="T49" t="s">
        <v>250</v>
      </c>
      <c r="U49">
        <v>1</v>
      </c>
      <c r="V49">
        <v>39</v>
      </c>
      <c r="W49" t="s">
        <v>396</v>
      </c>
      <c r="X49" t="s">
        <v>101</v>
      </c>
      <c r="Y49">
        <v>15</v>
      </c>
      <c r="AA49" s="1">
        <v>42957</v>
      </c>
      <c r="AB49">
        <v>2026</v>
      </c>
      <c r="AC49">
        <v>34</v>
      </c>
      <c r="AD49" t="s">
        <v>359</v>
      </c>
      <c r="AH49" t="s">
        <v>2</v>
      </c>
      <c r="AI49">
        <v>3</v>
      </c>
      <c r="AJ49">
        <v>3</v>
      </c>
      <c r="AK49">
        <v>3</v>
      </c>
      <c r="AM49" t="s">
        <v>88</v>
      </c>
      <c r="AN49" t="s">
        <v>254</v>
      </c>
      <c r="AO49">
        <v>20400000</v>
      </c>
      <c r="AQ49">
        <v>0</v>
      </c>
      <c r="AR49" t="s">
        <v>581</v>
      </c>
      <c r="AS49">
        <v>61</v>
      </c>
      <c r="AT49">
        <v>74</v>
      </c>
      <c r="AU49">
        <v>77</v>
      </c>
      <c r="AV49">
        <v>76</v>
      </c>
      <c r="AW49">
        <v>83</v>
      </c>
      <c r="AX49">
        <v>80</v>
      </c>
      <c r="AY49">
        <v>70</v>
      </c>
      <c r="AZ49">
        <v>70</v>
      </c>
      <c r="BA49">
        <v>75</v>
      </c>
      <c r="BB49">
        <v>85</v>
      </c>
      <c r="BC49">
        <v>65</v>
      </c>
      <c r="BD49">
        <v>77</v>
      </c>
      <c r="BE49">
        <v>61</v>
      </c>
      <c r="BF49">
        <v>54</v>
      </c>
      <c r="BG49">
        <v>84</v>
      </c>
      <c r="BH49">
        <v>81</v>
      </c>
      <c r="BI49">
        <v>53</v>
      </c>
      <c r="BJ49">
        <v>67</v>
      </c>
      <c r="BK49">
        <v>59</v>
      </c>
      <c r="BL49">
        <v>78</v>
      </c>
      <c r="BM49">
        <v>69</v>
      </c>
      <c r="BN49">
        <v>79</v>
      </c>
      <c r="BO49">
        <v>74</v>
      </c>
      <c r="BP49">
        <v>90</v>
      </c>
      <c r="BQ49">
        <v>73</v>
      </c>
      <c r="BR49">
        <v>78</v>
      </c>
      <c r="BS49">
        <v>86</v>
      </c>
      <c r="BT49">
        <v>83</v>
      </c>
      <c r="BU49">
        <v>70</v>
      </c>
      <c r="BV49">
        <v>74</v>
      </c>
      <c r="BW49">
        <v>80</v>
      </c>
      <c r="BX49">
        <v>83</v>
      </c>
      <c r="BY49">
        <v>82</v>
      </c>
      <c r="BZ49">
        <v>88</v>
      </c>
      <c r="CA49">
        <v>79</v>
      </c>
      <c r="CB49">
        <v>14</v>
      </c>
      <c r="CC49">
        <v>15</v>
      </c>
      <c r="CD49">
        <v>7</v>
      </c>
      <c r="CE49">
        <v>12</v>
      </c>
      <c r="CF49">
        <v>12</v>
      </c>
      <c r="CH49" t="s">
        <v>23</v>
      </c>
      <c r="CI49" t="s">
        <v>23</v>
      </c>
      <c r="CJ49" t="s">
        <v>23</v>
      </c>
      <c r="CK49" t="s">
        <v>108</v>
      </c>
      <c r="CL49" t="s">
        <v>119</v>
      </c>
      <c r="CM49" t="s">
        <v>119</v>
      </c>
      <c r="CN49" t="s">
        <v>119</v>
      </c>
      <c r="CO49" t="s">
        <v>108</v>
      </c>
      <c r="CP49" t="s">
        <v>24</v>
      </c>
      <c r="CQ49" t="s">
        <v>24</v>
      </c>
      <c r="CR49" t="s">
        <v>24</v>
      </c>
      <c r="CS49" t="s">
        <v>25</v>
      </c>
      <c r="CT49" t="s">
        <v>36</v>
      </c>
      <c r="CU49" t="s">
        <v>36</v>
      </c>
      <c r="CV49" t="s">
        <v>36</v>
      </c>
      <c r="CW49" t="s">
        <v>25</v>
      </c>
      <c r="CX49" t="s">
        <v>26</v>
      </c>
      <c r="CY49" t="s">
        <v>582</v>
      </c>
      <c r="CZ49" t="s">
        <v>582</v>
      </c>
      <c r="DA49" t="s">
        <v>582</v>
      </c>
      <c r="DB49" t="s">
        <v>26</v>
      </c>
      <c r="DC49" t="s">
        <v>26</v>
      </c>
      <c r="DD49" t="s">
        <v>36</v>
      </c>
      <c r="DE49" t="s">
        <v>36</v>
      </c>
      <c r="DF49" t="s">
        <v>36</v>
      </c>
      <c r="DG49" t="s">
        <v>26</v>
      </c>
      <c r="DH49" t="s">
        <v>32</v>
      </c>
      <c r="DI4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12.4389231</v>
      </c>
      <c r="DJ49" t="s">
        <v>583</v>
      </c>
      <c r="DK49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2.7360944899999997</v>
      </c>
      <c r="DL49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12.468024855049629</v>
      </c>
    </row>
    <row r="50" spans="1:116" x14ac:dyDescent="0.2">
      <c r="A50">
        <v>216409</v>
      </c>
      <c r="B50" t="s">
        <v>584</v>
      </c>
      <c r="C50">
        <v>26</v>
      </c>
      <c r="D50">
        <v>4</v>
      </c>
      <c r="E50" s="1">
        <v>45919</v>
      </c>
      <c r="F50" t="s">
        <v>585</v>
      </c>
      <c r="G50">
        <v>0</v>
      </c>
      <c r="H50">
        <v>0</v>
      </c>
      <c r="I50" t="s">
        <v>586</v>
      </c>
      <c r="J50" t="s">
        <v>509</v>
      </c>
      <c r="K50">
        <v>81</v>
      </c>
      <c r="L50">
        <v>81</v>
      </c>
      <c r="M50">
        <v>21500000</v>
      </c>
      <c r="N50">
        <v>115000</v>
      </c>
      <c r="O50">
        <v>31</v>
      </c>
      <c r="P50" s="1">
        <v>34184</v>
      </c>
      <c r="Q50">
        <v>171</v>
      </c>
      <c r="R50">
        <v>65</v>
      </c>
      <c r="S50">
        <v>31</v>
      </c>
      <c r="T50" t="s">
        <v>250</v>
      </c>
      <c r="U50">
        <v>1</v>
      </c>
      <c r="V50">
        <v>48</v>
      </c>
      <c r="W50" t="s">
        <v>278</v>
      </c>
      <c r="X50" t="s">
        <v>96</v>
      </c>
      <c r="Y50">
        <v>21</v>
      </c>
      <c r="AA50" s="1">
        <v>44378</v>
      </c>
      <c r="AB50">
        <v>2027</v>
      </c>
      <c r="AC50">
        <v>27</v>
      </c>
      <c r="AD50" t="s">
        <v>267</v>
      </c>
      <c r="AE50">
        <v>1343</v>
      </c>
      <c r="AF50" t="s">
        <v>96</v>
      </c>
      <c r="AG50">
        <v>7</v>
      </c>
      <c r="AH50" t="s">
        <v>18</v>
      </c>
      <c r="AI50">
        <v>4</v>
      </c>
      <c r="AJ50">
        <v>4</v>
      </c>
      <c r="AK50">
        <v>3</v>
      </c>
      <c r="AM50" t="s">
        <v>3</v>
      </c>
      <c r="AN50" t="s">
        <v>254</v>
      </c>
      <c r="AO50">
        <v>36600000</v>
      </c>
      <c r="AP50" t="s">
        <v>5</v>
      </c>
      <c r="AQ50">
        <v>0</v>
      </c>
      <c r="AR50" t="s">
        <v>587</v>
      </c>
      <c r="AS50">
        <v>80</v>
      </c>
      <c r="AT50">
        <v>78</v>
      </c>
      <c r="AU50">
        <v>80</v>
      </c>
      <c r="AV50">
        <v>83</v>
      </c>
      <c r="AW50">
        <v>59</v>
      </c>
      <c r="AX50">
        <v>55</v>
      </c>
      <c r="AY50">
        <v>80</v>
      </c>
      <c r="AZ50">
        <v>78</v>
      </c>
      <c r="BA50">
        <v>40</v>
      </c>
      <c r="BB50">
        <v>82</v>
      </c>
      <c r="BC50">
        <v>75</v>
      </c>
      <c r="BD50">
        <v>82</v>
      </c>
      <c r="BE50">
        <v>79</v>
      </c>
      <c r="BF50">
        <v>77</v>
      </c>
      <c r="BG50">
        <v>76</v>
      </c>
      <c r="BH50">
        <v>83</v>
      </c>
      <c r="BI50">
        <v>81</v>
      </c>
      <c r="BJ50">
        <v>79</v>
      </c>
      <c r="BK50">
        <v>90</v>
      </c>
      <c r="BL50">
        <v>82</v>
      </c>
      <c r="BM50">
        <v>88</v>
      </c>
      <c r="BN50">
        <v>78</v>
      </c>
      <c r="BO50">
        <v>53</v>
      </c>
      <c r="BP50">
        <v>78</v>
      </c>
      <c r="BQ50">
        <v>39</v>
      </c>
      <c r="BR50">
        <v>80</v>
      </c>
      <c r="BS50">
        <v>66</v>
      </c>
      <c r="BT50">
        <v>66</v>
      </c>
      <c r="BU50">
        <v>79</v>
      </c>
      <c r="BV50">
        <v>80</v>
      </c>
      <c r="BW50">
        <v>70</v>
      </c>
      <c r="BX50">
        <v>80</v>
      </c>
      <c r="BY50">
        <v>66</v>
      </c>
      <c r="BZ50">
        <v>58</v>
      </c>
      <c r="CA50">
        <v>50</v>
      </c>
      <c r="CB50">
        <v>11</v>
      </c>
      <c r="CC50">
        <v>12</v>
      </c>
      <c r="CD50">
        <v>6</v>
      </c>
      <c r="CE50">
        <v>8</v>
      </c>
      <c r="CF50">
        <v>11</v>
      </c>
      <c r="CH50" t="s">
        <v>23</v>
      </c>
      <c r="CI50" t="s">
        <v>23</v>
      </c>
      <c r="CJ50" t="s">
        <v>23</v>
      </c>
      <c r="CK50" t="s">
        <v>36</v>
      </c>
      <c r="CL50" t="s">
        <v>35</v>
      </c>
      <c r="CM50" t="s">
        <v>35</v>
      </c>
      <c r="CN50" t="s">
        <v>35</v>
      </c>
      <c r="CO50" t="s">
        <v>36</v>
      </c>
      <c r="CP50" t="s">
        <v>36</v>
      </c>
      <c r="CQ50" t="s">
        <v>36</v>
      </c>
      <c r="CR50" t="s">
        <v>36</v>
      </c>
      <c r="CS50" t="s">
        <v>36</v>
      </c>
      <c r="CT50" t="s">
        <v>26</v>
      </c>
      <c r="CU50" t="s">
        <v>26</v>
      </c>
      <c r="CV50" t="s">
        <v>26</v>
      </c>
      <c r="CW50" t="s">
        <v>36</v>
      </c>
      <c r="CX50" t="s">
        <v>29</v>
      </c>
      <c r="CY50" t="s">
        <v>354</v>
      </c>
      <c r="CZ50" t="s">
        <v>354</v>
      </c>
      <c r="DA50" t="s">
        <v>354</v>
      </c>
      <c r="DB50" t="s">
        <v>29</v>
      </c>
      <c r="DC50" t="s">
        <v>283</v>
      </c>
      <c r="DD50" t="s">
        <v>39</v>
      </c>
      <c r="DE50" t="s">
        <v>39</v>
      </c>
      <c r="DF50" t="s">
        <v>39</v>
      </c>
      <c r="DG50" t="s">
        <v>283</v>
      </c>
      <c r="DH50" t="s">
        <v>293</v>
      </c>
      <c r="DI5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11.7492673</v>
      </c>
      <c r="DJ50" t="s">
        <v>588</v>
      </c>
      <c r="DK50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2.9835682656250002</v>
      </c>
      <c r="DL50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11.787457639421921</v>
      </c>
    </row>
    <row r="51" spans="1:116" x14ac:dyDescent="0.2">
      <c r="A51">
        <v>245630</v>
      </c>
      <c r="B51" t="s">
        <v>589</v>
      </c>
      <c r="C51">
        <v>26</v>
      </c>
      <c r="D51">
        <v>4</v>
      </c>
      <c r="E51" s="1">
        <v>45919</v>
      </c>
      <c r="F51" t="s">
        <v>590</v>
      </c>
      <c r="G51">
        <v>0</v>
      </c>
      <c r="H51">
        <v>1</v>
      </c>
      <c r="I51" t="s">
        <v>591</v>
      </c>
      <c r="J51" t="s">
        <v>76</v>
      </c>
      <c r="K51">
        <v>81</v>
      </c>
      <c r="L51">
        <v>84</v>
      </c>
      <c r="M51">
        <v>30500000</v>
      </c>
      <c r="N51">
        <v>54000</v>
      </c>
      <c r="O51">
        <v>26</v>
      </c>
      <c r="P51" s="1">
        <v>36170</v>
      </c>
      <c r="Q51">
        <v>181</v>
      </c>
      <c r="R51">
        <v>75</v>
      </c>
      <c r="S51">
        <v>31</v>
      </c>
      <c r="T51" t="s">
        <v>250</v>
      </c>
      <c r="U51">
        <v>1</v>
      </c>
      <c r="V51">
        <v>47</v>
      </c>
      <c r="W51" t="s">
        <v>295</v>
      </c>
      <c r="X51" t="s">
        <v>101</v>
      </c>
      <c r="Y51">
        <v>19</v>
      </c>
      <c r="AA51" s="1">
        <v>45521</v>
      </c>
      <c r="AB51">
        <v>2028</v>
      </c>
      <c r="AC51">
        <v>18</v>
      </c>
      <c r="AD51" t="s">
        <v>296</v>
      </c>
      <c r="AH51" t="s">
        <v>2</v>
      </c>
      <c r="AI51">
        <v>3</v>
      </c>
      <c r="AJ51">
        <v>3</v>
      </c>
      <c r="AK51">
        <v>3</v>
      </c>
      <c r="AM51" t="s">
        <v>3</v>
      </c>
      <c r="AN51" t="s">
        <v>254</v>
      </c>
      <c r="AO51">
        <v>54100000</v>
      </c>
      <c r="AQ51">
        <v>0</v>
      </c>
      <c r="AR51" t="s">
        <v>592</v>
      </c>
      <c r="AS51">
        <v>68</v>
      </c>
      <c r="AT51">
        <v>68</v>
      </c>
      <c r="AU51">
        <v>75</v>
      </c>
      <c r="AV51">
        <v>78</v>
      </c>
      <c r="AW51">
        <v>79</v>
      </c>
      <c r="AX51">
        <v>77</v>
      </c>
      <c r="AY51">
        <v>66</v>
      </c>
      <c r="AZ51">
        <v>66</v>
      </c>
      <c r="BA51">
        <v>63</v>
      </c>
      <c r="BB51">
        <v>81</v>
      </c>
      <c r="BC51">
        <v>46</v>
      </c>
      <c r="BD51">
        <v>78</v>
      </c>
      <c r="BE51">
        <v>66</v>
      </c>
      <c r="BF51">
        <v>56</v>
      </c>
      <c r="BG51">
        <v>79</v>
      </c>
      <c r="BH51">
        <v>80</v>
      </c>
      <c r="BI51">
        <v>67</v>
      </c>
      <c r="BJ51">
        <v>69</v>
      </c>
      <c r="BK51">
        <v>70</v>
      </c>
      <c r="BL51">
        <v>80</v>
      </c>
      <c r="BM51">
        <v>76</v>
      </c>
      <c r="BN51">
        <v>76</v>
      </c>
      <c r="BO51">
        <v>73</v>
      </c>
      <c r="BP51">
        <v>85</v>
      </c>
      <c r="BQ51">
        <v>73</v>
      </c>
      <c r="BR51">
        <v>70</v>
      </c>
      <c r="BS51">
        <v>80</v>
      </c>
      <c r="BT51">
        <v>81</v>
      </c>
      <c r="BU51">
        <v>74</v>
      </c>
      <c r="BV51">
        <v>78</v>
      </c>
      <c r="BW51">
        <v>64</v>
      </c>
      <c r="BX51">
        <v>78</v>
      </c>
      <c r="BY51">
        <v>80</v>
      </c>
      <c r="BZ51">
        <v>83</v>
      </c>
      <c r="CA51">
        <v>74</v>
      </c>
      <c r="CB51">
        <v>12</v>
      </c>
      <c r="CC51">
        <v>7</v>
      </c>
      <c r="CD51">
        <v>12</v>
      </c>
      <c r="CE51">
        <v>5</v>
      </c>
      <c r="CF51">
        <v>9</v>
      </c>
      <c r="CH51" t="s">
        <v>282</v>
      </c>
      <c r="CI51" t="s">
        <v>282</v>
      </c>
      <c r="CJ51" t="s">
        <v>282</v>
      </c>
      <c r="CK51" t="s">
        <v>21</v>
      </c>
      <c r="CL51" t="s">
        <v>119</v>
      </c>
      <c r="CM51" t="s">
        <v>119</v>
      </c>
      <c r="CN51" t="s">
        <v>119</v>
      </c>
      <c r="CO51" t="s">
        <v>21</v>
      </c>
      <c r="CP51" t="s">
        <v>24</v>
      </c>
      <c r="CQ51" t="s">
        <v>24</v>
      </c>
      <c r="CR51" t="s">
        <v>24</v>
      </c>
      <c r="CS51" t="s">
        <v>24</v>
      </c>
      <c r="CT51" t="s">
        <v>7</v>
      </c>
      <c r="CU51" t="s">
        <v>7</v>
      </c>
      <c r="CV51" t="s">
        <v>7</v>
      </c>
      <c r="CW51" t="s">
        <v>24</v>
      </c>
      <c r="CX51" t="s">
        <v>30</v>
      </c>
      <c r="CY51" t="s">
        <v>269</v>
      </c>
      <c r="CZ51" t="s">
        <v>269</v>
      </c>
      <c r="DA51" t="s">
        <v>269</v>
      </c>
      <c r="DB51" t="s">
        <v>30</v>
      </c>
      <c r="DC51" t="s">
        <v>30</v>
      </c>
      <c r="DD51" t="s">
        <v>30</v>
      </c>
      <c r="DE51" t="s">
        <v>30</v>
      </c>
      <c r="DF51" t="s">
        <v>30</v>
      </c>
      <c r="DG51" t="s">
        <v>30</v>
      </c>
      <c r="DH51" t="s">
        <v>40</v>
      </c>
      <c r="DI5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12.592626199999998</v>
      </c>
      <c r="DJ51" t="s">
        <v>593</v>
      </c>
      <c r="DK51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2.7606610000000003</v>
      </c>
      <c r="DL51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12.683916525606998</v>
      </c>
    </row>
    <row r="52" spans="1:116" x14ac:dyDescent="0.2">
      <c r="A52">
        <v>184392</v>
      </c>
      <c r="B52" t="s">
        <v>594</v>
      </c>
      <c r="C52">
        <v>26</v>
      </c>
      <c r="D52">
        <v>4</v>
      </c>
      <c r="E52" s="1">
        <v>45919</v>
      </c>
      <c r="F52" t="s">
        <v>595</v>
      </c>
      <c r="G52">
        <v>1</v>
      </c>
      <c r="H52">
        <v>0</v>
      </c>
      <c r="I52" t="s">
        <v>596</v>
      </c>
      <c r="J52" t="s">
        <v>135</v>
      </c>
      <c r="K52">
        <v>81</v>
      </c>
      <c r="L52">
        <v>81</v>
      </c>
      <c r="M52">
        <v>8000000</v>
      </c>
      <c r="N52">
        <v>29000</v>
      </c>
      <c r="O52">
        <v>35</v>
      </c>
      <c r="P52" s="1">
        <v>32844</v>
      </c>
      <c r="Q52">
        <v>182</v>
      </c>
      <c r="R52">
        <v>70</v>
      </c>
      <c r="S52">
        <v>31</v>
      </c>
      <c r="T52" t="s">
        <v>250</v>
      </c>
      <c r="U52">
        <v>1</v>
      </c>
      <c r="V52">
        <v>44</v>
      </c>
      <c r="W52" t="s">
        <v>251</v>
      </c>
      <c r="X52" t="s">
        <v>110</v>
      </c>
      <c r="Y52">
        <v>36</v>
      </c>
      <c r="AA52" s="1">
        <v>44378</v>
      </c>
      <c r="AB52">
        <v>2026</v>
      </c>
      <c r="AC52">
        <v>27</v>
      </c>
      <c r="AD52" t="s">
        <v>267</v>
      </c>
      <c r="AH52" t="s">
        <v>2</v>
      </c>
      <c r="AI52">
        <v>4</v>
      </c>
      <c r="AJ52">
        <v>3</v>
      </c>
      <c r="AK52">
        <v>3</v>
      </c>
      <c r="AM52" t="s">
        <v>3</v>
      </c>
      <c r="AN52" t="s">
        <v>254</v>
      </c>
      <c r="AO52">
        <v>13200000</v>
      </c>
      <c r="AQ52">
        <v>0</v>
      </c>
      <c r="AS52">
        <v>71</v>
      </c>
      <c r="AT52">
        <v>62</v>
      </c>
      <c r="AU52">
        <v>74</v>
      </c>
      <c r="AV52">
        <v>76</v>
      </c>
      <c r="AW52">
        <v>81</v>
      </c>
      <c r="AX52">
        <v>71</v>
      </c>
      <c r="AY52">
        <v>74</v>
      </c>
      <c r="AZ52">
        <v>60</v>
      </c>
      <c r="BA52">
        <v>76</v>
      </c>
      <c r="BB52">
        <v>81</v>
      </c>
      <c r="BC52">
        <v>65</v>
      </c>
      <c r="BD52">
        <v>72</v>
      </c>
      <c r="BE52">
        <v>75</v>
      </c>
      <c r="BF52">
        <v>40</v>
      </c>
      <c r="BG52">
        <v>74</v>
      </c>
      <c r="BH52">
        <v>79</v>
      </c>
      <c r="BI52">
        <v>68</v>
      </c>
      <c r="BJ52">
        <v>74</v>
      </c>
      <c r="BK52">
        <v>79</v>
      </c>
      <c r="BL52">
        <v>83</v>
      </c>
      <c r="BM52">
        <v>75</v>
      </c>
      <c r="BN52">
        <v>69</v>
      </c>
      <c r="BO52">
        <v>77</v>
      </c>
      <c r="BP52">
        <v>75</v>
      </c>
      <c r="BQ52">
        <v>64</v>
      </c>
      <c r="BR52">
        <v>60</v>
      </c>
      <c r="BS52">
        <v>84</v>
      </c>
      <c r="BT52">
        <v>79</v>
      </c>
      <c r="BU52">
        <v>78</v>
      </c>
      <c r="BV52">
        <v>70</v>
      </c>
      <c r="BW52">
        <v>49</v>
      </c>
      <c r="BX52">
        <v>79</v>
      </c>
      <c r="BY52">
        <v>83</v>
      </c>
      <c r="BZ52">
        <v>84</v>
      </c>
      <c r="CA52">
        <v>79</v>
      </c>
      <c r="CB52">
        <v>6</v>
      </c>
      <c r="CC52">
        <v>7</v>
      </c>
      <c r="CD52">
        <v>7</v>
      </c>
      <c r="CE52">
        <v>12</v>
      </c>
      <c r="CF52">
        <v>7</v>
      </c>
      <c r="CH52" t="s">
        <v>282</v>
      </c>
      <c r="CI52" t="s">
        <v>282</v>
      </c>
      <c r="CJ52" t="s">
        <v>282</v>
      </c>
      <c r="CK52" t="s">
        <v>21</v>
      </c>
      <c r="CL52" t="s">
        <v>21</v>
      </c>
      <c r="CM52" t="s">
        <v>21</v>
      </c>
      <c r="CN52" t="s">
        <v>21</v>
      </c>
      <c r="CO52" t="s">
        <v>21</v>
      </c>
      <c r="CP52" t="s">
        <v>23</v>
      </c>
      <c r="CQ52" t="s">
        <v>23</v>
      </c>
      <c r="CR52" t="s">
        <v>23</v>
      </c>
      <c r="CS52" t="s">
        <v>25</v>
      </c>
      <c r="CT52" t="s">
        <v>24</v>
      </c>
      <c r="CU52" t="s">
        <v>24</v>
      </c>
      <c r="CV52" t="s">
        <v>24</v>
      </c>
      <c r="CW52" t="s">
        <v>25</v>
      </c>
      <c r="CX52" t="s">
        <v>10</v>
      </c>
      <c r="CY52" t="s">
        <v>26</v>
      </c>
      <c r="CZ52" t="s">
        <v>26</v>
      </c>
      <c r="DA52" t="s">
        <v>26</v>
      </c>
      <c r="DB52" t="s">
        <v>10</v>
      </c>
      <c r="DC52" t="s">
        <v>26</v>
      </c>
      <c r="DD52" t="s">
        <v>26</v>
      </c>
      <c r="DE52" t="s">
        <v>26</v>
      </c>
      <c r="DF52" t="s">
        <v>26</v>
      </c>
      <c r="DG52" t="s">
        <v>26</v>
      </c>
      <c r="DH52" t="s">
        <v>40</v>
      </c>
      <c r="DI5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13.0181437</v>
      </c>
      <c r="DJ52" t="s">
        <v>597</v>
      </c>
      <c r="DK52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2.6867162656249999</v>
      </c>
      <c r="DL52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13.183550704097923</v>
      </c>
    </row>
    <row r="53" spans="1:116" x14ac:dyDescent="0.2">
      <c r="A53">
        <v>202024</v>
      </c>
      <c r="B53" t="s">
        <v>598</v>
      </c>
      <c r="C53">
        <v>26</v>
      </c>
      <c r="D53">
        <v>4</v>
      </c>
      <c r="E53" s="1">
        <v>45919</v>
      </c>
      <c r="F53" t="s">
        <v>599</v>
      </c>
      <c r="G53">
        <v>0</v>
      </c>
      <c r="H53">
        <v>1</v>
      </c>
      <c r="I53" t="s">
        <v>600</v>
      </c>
      <c r="J53" t="s">
        <v>76</v>
      </c>
      <c r="K53">
        <v>81</v>
      </c>
      <c r="L53">
        <v>81</v>
      </c>
      <c r="M53">
        <v>13000000</v>
      </c>
      <c r="N53">
        <v>60000</v>
      </c>
      <c r="O53">
        <v>33</v>
      </c>
      <c r="P53" s="1">
        <v>33709</v>
      </c>
      <c r="Q53">
        <v>180</v>
      </c>
      <c r="R53">
        <v>80</v>
      </c>
      <c r="S53">
        <v>31</v>
      </c>
      <c r="T53" t="s">
        <v>250</v>
      </c>
      <c r="U53">
        <v>1</v>
      </c>
      <c r="V53">
        <v>189</v>
      </c>
      <c r="W53" t="s">
        <v>503</v>
      </c>
      <c r="X53" t="s">
        <v>77</v>
      </c>
      <c r="Y53">
        <v>8</v>
      </c>
      <c r="AA53" s="1">
        <v>45170</v>
      </c>
      <c r="AB53">
        <v>2026</v>
      </c>
      <c r="AC53">
        <v>47</v>
      </c>
      <c r="AD53" t="s">
        <v>298</v>
      </c>
      <c r="AH53" t="s">
        <v>2</v>
      </c>
      <c r="AI53">
        <v>3</v>
      </c>
      <c r="AJ53">
        <v>4</v>
      </c>
      <c r="AK53">
        <v>3</v>
      </c>
      <c r="AM53" t="s">
        <v>3</v>
      </c>
      <c r="AN53" t="s">
        <v>4</v>
      </c>
      <c r="AO53">
        <v>22100000</v>
      </c>
      <c r="AQ53">
        <v>0</v>
      </c>
      <c r="AR53" t="s">
        <v>601</v>
      </c>
      <c r="AS53">
        <v>58</v>
      </c>
      <c r="AT53">
        <v>72</v>
      </c>
      <c r="AU53">
        <v>76</v>
      </c>
      <c r="AV53">
        <v>77</v>
      </c>
      <c r="AW53">
        <v>77</v>
      </c>
      <c r="AX53">
        <v>74</v>
      </c>
      <c r="AY53">
        <v>65</v>
      </c>
      <c r="AZ53">
        <v>70</v>
      </c>
      <c r="BA53">
        <v>48</v>
      </c>
      <c r="BB53">
        <v>83</v>
      </c>
      <c r="BC53">
        <v>68</v>
      </c>
      <c r="BD53">
        <v>76</v>
      </c>
      <c r="BE53">
        <v>61</v>
      </c>
      <c r="BF53">
        <v>70</v>
      </c>
      <c r="BG53">
        <v>78</v>
      </c>
      <c r="BH53">
        <v>83</v>
      </c>
      <c r="BI53">
        <v>63</v>
      </c>
      <c r="BJ53">
        <v>53</v>
      </c>
      <c r="BK53">
        <v>67</v>
      </c>
      <c r="BL53">
        <v>82</v>
      </c>
      <c r="BM53">
        <v>65</v>
      </c>
      <c r="BN53">
        <v>75</v>
      </c>
      <c r="BO53">
        <v>62</v>
      </c>
      <c r="BP53">
        <v>91</v>
      </c>
      <c r="BQ53">
        <v>67</v>
      </c>
      <c r="BR53">
        <v>74</v>
      </c>
      <c r="BS53">
        <v>71</v>
      </c>
      <c r="BT53">
        <v>79</v>
      </c>
      <c r="BU53">
        <v>78</v>
      </c>
      <c r="BV53">
        <v>78</v>
      </c>
      <c r="BW53">
        <v>61</v>
      </c>
      <c r="BX53">
        <v>83</v>
      </c>
      <c r="BY53">
        <v>80</v>
      </c>
      <c r="BZ53">
        <v>84</v>
      </c>
      <c r="CA53">
        <v>75</v>
      </c>
      <c r="CB53">
        <v>12</v>
      </c>
      <c r="CC53">
        <v>8</v>
      </c>
      <c r="CD53">
        <v>9</v>
      </c>
      <c r="CE53">
        <v>14</v>
      </c>
      <c r="CF53">
        <v>13</v>
      </c>
      <c r="CH53" t="s">
        <v>354</v>
      </c>
      <c r="CI53" t="s">
        <v>354</v>
      </c>
      <c r="CJ53" t="s">
        <v>354</v>
      </c>
      <c r="CK53" t="s">
        <v>21</v>
      </c>
      <c r="CL53" t="s">
        <v>119</v>
      </c>
      <c r="CM53" t="s">
        <v>119</v>
      </c>
      <c r="CN53" t="s">
        <v>119</v>
      </c>
      <c r="CO53" t="s">
        <v>21</v>
      </c>
      <c r="CP53" t="s">
        <v>30</v>
      </c>
      <c r="CQ53" t="s">
        <v>30</v>
      </c>
      <c r="CR53" t="s">
        <v>30</v>
      </c>
      <c r="CS53" t="s">
        <v>24</v>
      </c>
      <c r="CT53" t="s">
        <v>36</v>
      </c>
      <c r="CU53" t="s">
        <v>36</v>
      </c>
      <c r="CV53" t="s">
        <v>36</v>
      </c>
      <c r="CW53" t="s">
        <v>24</v>
      </c>
      <c r="CX53" t="s">
        <v>30</v>
      </c>
      <c r="CY53" t="s">
        <v>31</v>
      </c>
      <c r="CZ53" t="s">
        <v>31</v>
      </c>
      <c r="DA53" t="s">
        <v>31</v>
      </c>
      <c r="DB53" t="s">
        <v>30</v>
      </c>
      <c r="DC53" t="s">
        <v>24</v>
      </c>
      <c r="DD53" t="s">
        <v>23</v>
      </c>
      <c r="DE53" t="s">
        <v>23</v>
      </c>
      <c r="DF53" t="s">
        <v>23</v>
      </c>
      <c r="DG53" t="s">
        <v>24</v>
      </c>
      <c r="DH53" t="s">
        <v>27</v>
      </c>
      <c r="DI5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11.893204899999999</v>
      </c>
      <c r="DJ53" t="s">
        <v>602</v>
      </c>
      <c r="DK53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2.7508103064062501</v>
      </c>
      <c r="DL53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11.970579732446362</v>
      </c>
    </row>
    <row r="54" spans="1:116" x14ac:dyDescent="0.2">
      <c r="A54">
        <v>232411</v>
      </c>
      <c r="B54" t="s">
        <v>603</v>
      </c>
      <c r="C54">
        <v>26</v>
      </c>
      <c r="D54">
        <v>4</v>
      </c>
      <c r="E54" s="1">
        <v>45919</v>
      </c>
      <c r="F54" t="s">
        <v>604</v>
      </c>
      <c r="G54">
        <v>0</v>
      </c>
      <c r="H54">
        <v>0</v>
      </c>
      <c r="I54" t="s">
        <v>605</v>
      </c>
      <c r="J54" t="s">
        <v>606</v>
      </c>
      <c r="K54">
        <v>81</v>
      </c>
      <c r="L54">
        <v>81</v>
      </c>
      <c r="M54">
        <v>27500000</v>
      </c>
      <c r="N54">
        <v>58000</v>
      </c>
      <c r="O54">
        <v>27</v>
      </c>
      <c r="P54" s="1">
        <v>35748</v>
      </c>
      <c r="Q54">
        <v>177</v>
      </c>
      <c r="R54">
        <v>68</v>
      </c>
      <c r="S54">
        <v>31</v>
      </c>
      <c r="T54" t="s">
        <v>250</v>
      </c>
      <c r="U54">
        <v>1</v>
      </c>
      <c r="V54">
        <v>47</v>
      </c>
      <c r="W54" t="s">
        <v>295</v>
      </c>
      <c r="X54" t="s">
        <v>110</v>
      </c>
      <c r="Y54">
        <v>18</v>
      </c>
      <c r="AA54" s="1">
        <v>45899</v>
      </c>
      <c r="AB54">
        <v>2030</v>
      </c>
      <c r="AC54">
        <v>18</v>
      </c>
      <c r="AD54" t="s">
        <v>296</v>
      </c>
      <c r="AH54" t="s">
        <v>2</v>
      </c>
      <c r="AI54">
        <v>3</v>
      </c>
      <c r="AJ54">
        <v>5</v>
      </c>
      <c r="AK54">
        <v>3</v>
      </c>
      <c r="AM54" t="s">
        <v>3</v>
      </c>
      <c r="AN54" t="s">
        <v>254</v>
      </c>
      <c r="AO54">
        <v>46800000</v>
      </c>
      <c r="AQ54">
        <v>1</v>
      </c>
      <c r="AR54" t="s">
        <v>607</v>
      </c>
      <c r="AS54">
        <v>77</v>
      </c>
      <c r="AT54">
        <v>79</v>
      </c>
      <c r="AU54">
        <v>80</v>
      </c>
      <c r="AV54">
        <v>82</v>
      </c>
      <c r="AW54">
        <v>40</v>
      </c>
      <c r="AX54">
        <v>59</v>
      </c>
      <c r="AY54">
        <v>78</v>
      </c>
      <c r="AZ54">
        <v>80</v>
      </c>
      <c r="BA54">
        <v>65</v>
      </c>
      <c r="BB54">
        <v>82</v>
      </c>
      <c r="BC54">
        <v>70</v>
      </c>
      <c r="BD54">
        <v>82</v>
      </c>
      <c r="BE54">
        <v>80</v>
      </c>
      <c r="BF54">
        <v>78</v>
      </c>
      <c r="BG54">
        <v>78</v>
      </c>
      <c r="BH54">
        <v>83</v>
      </c>
      <c r="BI54">
        <v>77</v>
      </c>
      <c r="BJ54">
        <v>77</v>
      </c>
      <c r="BK54">
        <v>82</v>
      </c>
      <c r="BL54">
        <v>79</v>
      </c>
      <c r="BM54">
        <v>80</v>
      </c>
      <c r="BN54">
        <v>80</v>
      </c>
      <c r="BO54">
        <v>74</v>
      </c>
      <c r="BP54">
        <v>65</v>
      </c>
      <c r="BQ54">
        <v>63</v>
      </c>
      <c r="BR54">
        <v>78</v>
      </c>
      <c r="BS54">
        <v>40</v>
      </c>
      <c r="BT54">
        <v>40</v>
      </c>
      <c r="BU54">
        <v>81</v>
      </c>
      <c r="BV54">
        <v>80</v>
      </c>
      <c r="BW54">
        <v>83</v>
      </c>
      <c r="BX54">
        <v>78</v>
      </c>
      <c r="BY54">
        <v>40</v>
      </c>
      <c r="BZ54">
        <v>35</v>
      </c>
      <c r="CA54">
        <v>30</v>
      </c>
      <c r="CB54">
        <v>5</v>
      </c>
      <c r="CC54">
        <v>6</v>
      </c>
      <c r="CD54">
        <v>10</v>
      </c>
      <c r="CE54">
        <v>15</v>
      </c>
      <c r="CF54">
        <v>7</v>
      </c>
      <c r="CH54" t="s">
        <v>10</v>
      </c>
      <c r="CI54" t="s">
        <v>10</v>
      </c>
      <c r="CJ54" t="s">
        <v>10</v>
      </c>
      <c r="CK54" t="s">
        <v>35</v>
      </c>
      <c r="CL54" t="s">
        <v>35</v>
      </c>
      <c r="CM54" t="s">
        <v>35</v>
      </c>
      <c r="CN54" t="s">
        <v>35</v>
      </c>
      <c r="CO54" t="s">
        <v>35</v>
      </c>
      <c r="CP54" t="s">
        <v>36</v>
      </c>
      <c r="CQ54" t="s">
        <v>36</v>
      </c>
      <c r="CR54" t="s">
        <v>36</v>
      </c>
      <c r="CS54" t="s">
        <v>26</v>
      </c>
      <c r="CT54" t="s">
        <v>25</v>
      </c>
      <c r="CU54" t="s">
        <v>25</v>
      </c>
      <c r="CV54" t="s">
        <v>25</v>
      </c>
      <c r="CW54" t="s">
        <v>26</v>
      </c>
      <c r="CX54" t="s">
        <v>12</v>
      </c>
      <c r="CY54" t="s">
        <v>39</v>
      </c>
      <c r="CZ54" t="s">
        <v>39</v>
      </c>
      <c r="DA54" t="s">
        <v>39</v>
      </c>
      <c r="DB54" t="s">
        <v>12</v>
      </c>
      <c r="DC54" t="s">
        <v>384</v>
      </c>
      <c r="DD54" t="s">
        <v>453</v>
      </c>
      <c r="DE54" t="s">
        <v>453</v>
      </c>
      <c r="DF54" t="s">
        <v>453</v>
      </c>
      <c r="DG54" t="s">
        <v>384</v>
      </c>
      <c r="DH54" t="s">
        <v>40</v>
      </c>
      <c r="DI5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13.057626799999996</v>
      </c>
      <c r="DJ54" t="s">
        <v>608</v>
      </c>
      <c r="DK54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2.9972360000000005</v>
      </c>
      <c r="DL54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13.081668915131999</v>
      </c>
    </row>
    <row r="55" spans="1:116" x14ac:dyDescent="0.2">
      <c r="A55">
        <v>236632</v>
      </c>
      <c r="B55" t="s">
        <v>609</v>
      </c>
      <c r="C55">
        <v>26</v>
      </c>
      <c r="D55">
        <v>4</v>
      </c>
      <c r="E55" s="1">
        <v>45919</v>
      </c>
      <c r="F55" t="s">
        <v>610</v>
      </c>
      <c r="G55">
        <v>0</v>
      </c>
      <c r="H55">
        <v>0</v>
      </c>
      <c r="I55" t="s">
        <v>611</v>
      </c>
      <c r="J55" t="s">
        <v>103</v>
      </c>
      <c r="K55">
        <v>81</v>
      </c>
      <c r="L55">
        <v>81</v>
      </c>
      <c r="M55">
        <v>26000000</v>
      </c>
      <c r="N55">
        <v>115000</v>
      </c>
      <c r="O55">
        <v>28</v>
      </c>
      <c r="P55" s="1">
        <v>35492</v>
      </c>
      <c r="Q55">
        <v>175</v>
      </c>
      <c r="R55">
        <v>69</v>
      </c>
      <c r="S55">
        <v>31</v>
      </c>
      <c r="T55" t="s">
        <v>250</v>
      </c>
      <c r="U55">
        <v>1</v>
      </c>
      <c r="V55">
        <v>48</v>
      </c>
      <c r="W55" t="s">
        <v>278</v>
      </c>
      <c r="X55" t="s">
        <v>110</v>
      </c>
      <c r="Y55">
        <v>7</v>
      </c>
      <c r="AA55" s="1">
        <v>45525</v>
      </c>
      <c r="AB55">
        <v>2028</v>
      </c>
      <c r="AC55">
        <v>54</v>
      </c>
      <c r="AD55" t="s">
        <v>1</v>
      </c>
      <c r="AH55" t="s">
        <v>18</v>
      </c>
      <c r="AI55">
        <v>3</v>
      </c>
      <c r="AJ55">
        <v>5</v>
      </c>
      <c r="AK55">
        <v>3</v>
      </c>
      <c r="AM55" t="s">
        <v>3</v>
      </c>
      <c r="AN55" t="s">
        <v>254</v>
      </c>
      <c r="AO55">
        <v>44200000</v>
      </c>
      <c r="AP55" t="s">
        <v>366</v>
      </c>
      <c r="AQ55">
        <v>0</v>
      </c>
      <c r="AR55" t="s">
        <v>612</v>
      </c>
      <c r="AS55">
        <v>86</v>
      </c>
      <c r="AT55">
        <v>76</v>
      </c>
      <c r="AU55">
        <v>75</v>
      </c>
      <c r="AV55">
        <v>86</v>
      </c>
      <c r="AW55">
        <v>46</v>
      </c>
      <c r="AX55">
        <v>61</v>
      </c>
      <c r="AY55">
        <v>74</v>
      </c>
      <c r="AZ55">
        <v>76</v>
      </c>
      <c r="BA55">
        <v>45</v>
      </c>
      <c r="BB55">
        <v>78</v>
      </c>
      <c r="BC55">
        <v>74</v>
      </c>
      <c r="BD55">
        <v>86</v>
      </c>
      <c r="BE55">
        <v>79</v>
      </c>
      <c r="BF55">
        <v>52</v>
      </c>
      <c r="BG55">
        <v>69</v>
      </c>
      <c r="BH55">
        <v>85</v>
      </c>
      <c r="BI55">
        <v>87</v>
      </c>
      <c r="BJ55">
        <v>85</v>
      </c>
      <c r="BK55">
        <v>92</v>
      </c>
      <c r="BL55">
        <v>80</v>
      </c>
      <c r="BM55">
        <v>82</v>
      </c>
      <c r="BN55">
        <v>79</v>
      </c>
      <c r="BO55">
        <v>67</v>
      </c>
      <c r="BP55">
        <v>69</v>
      </c>
      <c r="BQ55">
        <v>59</v>
      </c>
      <c r="BR55">
        <v>75</v>
      </c>
      <c r="BS55">
        <v>53</v>
      </c>
      <c r="BT55">
        <v>48</v>
      </c>
      <c r="BU55">
        <v>78</v>
      </c>
      <c r="BV55">
        <v>79</v>
      </c>
      <c r="BW55">
        <v>69</v>
      </c>
      <c r="BX55">
        <v>85</v>
      </c>
      <c r="BY55">
        <v>48</v>
      </c>
      <c r="BZ55">
        <v>45</v>
      </c>
      <c r="CA55">
        <v>38</v>
      </c>
      <c r="CB55">
        <v>14</v>
      </c>
      <c r="CC55">
        <v>10</v>
      </c>
      <c r="CD55">
        <v>5</v>
      </c>
      <c r="CE55">
        <v>13</v>
      </c>
      <c r="CF55">
        <v>6</v>
      </c>
      <c r="CH55" t="s">
        <v>25</v>
      </c>
      <c r="CI55" t="s">
        <v>25</v>
      </c>
      <c r="CJ55" t="s">
        <v>25</v>
      </c>
      <c r="CK55" t="s">
        <v>36</v>
      </c>
      <c r="CL55" t="s">
        <v>35</v>
      </c>
      <c r="CM55" t="s">
        <v>35</v>
      </c>
      <c r="CN55" t="s">
        <v>35</v>
      </c>
      <c r="CO55" t="s">
        <v>36</v>
      </c>
      <c r="CP55" t="s">
        <v>36</v>
      </c>
      <c r="CQ55" t="s">
        <v>36</v>
      </c>
      <c r="CR55" t="s">
        <v>36</v>
      </c>
      <c r="CS55" t="s">
        <v>31</v>
      </c>
      <c r="CT55" t="s">
        <v>25</v>
      </c>
      <c r="CU55" t="s">
        <v>25</v>
      </c>
      <c r="CV55" t="s">
        <v>25</v>
      </c>
      <c r="CW55" t="s">
        <v>31</v>
      </c>
      <c r="CX55" t="s">
        <v>11</v>
      </c>
      <c r="CY55" t="s">
        <v>318</v>
      </c>
      <c r="CZ55" t="s">
        <v>318</v>
      </c>
      <c r="DA55" t="s">
        <v>318</v>
      </c>
      <c r="DB55" t="s">
        <v>11</v>
      </c>
      <c r="DC55" t="s">
        <v>12</v>
      </c>
      <c r="DD55" t="s">
        <v>465</v>
      </c>
      <c r="DE55" t="s">
        <v>465</v>
      </c>
      <c r="DF55" t="s">
        <v>465</v>
      </c>
      <c r="DG55" t="s">
        <v>12</v>
      </c>
      <c r="DH55" t="s">
        <v>293</v>
      </c>
      <c r="DI5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12.894863699999998</v>
      </c>
      <c r="DJ55" t="s">
        <v>613</v>
      </c>
      <c r="DK55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2.822973325625</v>
      </c>
      <c r="DL55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12.985948239888142</v>
      </c>
    </row>
    <row r="56" spans="1:116" x14ac:dyDescent="0.2">
      <c r="A56">
        <v>201153</v>
      </c>
      <c r="B56" t="s">
        <v>614</v>
      </c>
      <c r="C56">
        <v>26</v>
      </c>
      <c r="D56">
        <v>4</v>
      </c>
      <c r="E56" s="1">
        <v>45919</v>
      </c>
      <c r="F56" t="s">
        <v>615</v>
      </c>
      <c r="G56">
        <v>0</v>
      </c>
      <c r="H56">
        <v>0</v>
      </c>
      <c r="I56" t="s">
        <v>616</v>
      </c>
      <c r="J56" t="s">
        <v>132</v>
      </c>
      <c r="K56">
        <v>81</v>
      </c>
      <c r="L56">
        <v>81</v>
      </c>
      <c r="M56">
        <v>21000000</v>
      </c>
      <c r="N56">
        <v>64000</v>
      </c>
      <c r="O56">
        <v>32</v>
      </c>
      <c r="P56" s="1">
        <v>33900</v>
      </c>
      <c r="Q56">
        <v>190</v>
      </c>
      <c r="R56">
        <v>84</v>
      </c>
      <c r="S56">
        <v>31</v>
      </c>
      <c r="T56" t="s">
        <v>250</v>
      </c>
      <c r="U56">
        <v>1</v>
      </c>
      <c r="V56">
        <v>1745</v>
      </c>
      <c r="W56" t="s">
        <v>617</v>
      </c>
      <c r="X56" t="s">
        <v>110</v>
      </c>
      <c r="Y56">
        <v>7</v>
      </c>
      <c r="Z56" t="s">
        <v>295</v>
      </c>
      <c r="AB56">
        <v>2026</v>
      </c>
      <c r="AC56">
        <v>45</v>
      </c>
      <c r="AD56" t="s">
        <v>349</v>
      </c>
      <c r="AE56">
        <v>1362</v>
      </c>
      <c r="AF56" t="s">
        <v>110</v>
      </c>
      <c r="AG56">
        <v>7</v>
      </c>
      <c r="AH56" t="s">
        <v>2</v>
      </c>
      <c r="AI56">
        <v>4</v>
      </c>
      <c r="AJ56">
        <v>3</v>
      </c>
      <c r="AK56">
        <v>3</v>
      </c>
      <c r="AM56" t="s">
        <v>253</v>
      </c>
      <c r="AN56" t="s">
        <v>254</v>
      </c>
      <c r="AQ56">
        <v>1</v>
      </c>
      <c r="AR56" t="s">
        <v>618</v>
      </c>
      <c r="AS56">
        <v>78</v>
      </c>
      <c r="AT56">
        <v>81</v>
      </c>
      <c r="AU56">
        <v>74</v>
      </c>
      <c r="AV56">
        <v>80</v>
      </c>
      <c r="AW56">
        <v>31</v>
      </c>
      <c r="AX56">
        <v>78</v>
      </c>
      <c r="AY56">
        <v>72</v>
      </c>
      <c r="AZ56">
        <v>82</v>
      </c>
      <c r="BA56">
        <v>84</v>
      </c>
      <c r="BB56">
        <v>77</v>
      </c>
      <c r="BC56">
        <v>82</v>
      </c>
      <c r="BD56">
        <v>80</v>
      </c>
      <c r="BE56">
        <v>78</v>
      </c>
      <c r="BF56">
        <v>52</v>
      </c>
      <c r="BG56">
        <v>72</v>
      </c>
      <c r="BH56">
        <v>83</v>
      </c>
      <c r="BI56">
        <v>79</v>
      </c>
      <c r="BJ56">
        <v>78</v>
      </c>
      <c r="BK56">
        <v>76</v>
      </c>
      <c r="BL56">
        <v>81</v>
      </c>
      <c r="BM56">
        <v>63</v>
      </c>
      <c r="BN56">
        <v>82</v>
      </c>
      <c r="BO56">
        <v>91</v>
      </c>
      <c r="BP56">
        <v>79</v>
      </c>
      <c r="BQ56">
        <v>79</v>
      </c>
      <c r="BR56">
        <v>76</v>
      </c>
      <c r="BS56">
        <v>69</v>
      </c>
      <c r="BT56">
        <v>26</v>
      </c>
      <c r="BU56">
        <v>84</v>
      </c>
      <c r="BV56">
        <v>77</v>
      </c>
      <c r="BW56">
        <v>75</v>
      </c>
      <c r="BX56">
        <v>79</v>
      </c>
      <c r="BY56">
        <v>37</v>
      </c>
      <c r="BZ56">
        <v>14</v>
      </c>
      <c r="CA56">
        <v>20</v>
      </c>
      <c r="CB56">
        <v>4</v>
      </c>
      <c r="CC56">
        <v>5</v>
      </c>
      <c r="CD56">
        <v>4</v>
      </c>
      <c r="CE56">
        <v>4</v>
      </c>
      <c r="CF56">
        <v>5</v>
      </c>
      <c r="CH56" t="s">
        <v>36</v>
      </c>
      <c r="CI56" t="s">
        <v>36</v>
      </c>
      <c r="CJ56" t="s">
        <v>36</v>
      </c>
      <c r="CK56" t="s">
        <v>44</v>
      </c>
      <c r="CL56" t="s">
        <v>36</v>
      </c>
      <c r="CM56" t="s">
        <v>36</v>
      </c>
      <c r="CN56" t="s">
        <v>36</v>
      </c>
      <c r="CO56" t="s">
        <v>44</v>
      </c>
      <c r="CP56" t="s">
        <v>26</v>
      </c>
      <c r="CQ56" t="s">
        <v>26</v>
      </c>
      <c r="CR56" t="s">
        <v>26</v>
      </c>
      <c r="CS56" t="s">
        <v>26</v>
      </c>
      <c r="CT56" t="s">
        <v>29</v>
      </c>
      <c r="CU56" t="s">
        <v>29</v>
      </c>
      <c r="CV56" t="s">
        <v>29</v>
      </c>
      <c r="CW56" t="s">
        <v>26</v>
      </c>
      <c r="CX56" t="s">
        <v>402</v>
      </c>
      <c r="CY56" t="s">
        <v>376</v>
      </c>
      <c r="CZ56" t="s">
        <v>376</v>
      </c>
      <c r="DA56" t="s">
        <v>376</v>
      </c>
      <c r="DB56" t="s">
        <v>402</v>
      </c>
      <c r="DC56" t="s">
        <v>465</v>
      </c>
      <c r="DD56" t="s">
        <v>453</v>
      </c>
      <c r="DE56" t="s">
        <v>453</v>
      </c>
      <c r="DF56" t="s">
        <v>453</v>
      </c>
      <c r="DG56" t="s">
        <v>465</v>
      </c>
      <c r="DH56" t="s">
        <v>619</v>
      </c>
      <c r="DI5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13.510965599999999</v>
      </c>
      <c r="DJ56" t="s">
        <v>620</v>
      </c>
      <c r="DK56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2.7884175625000003</v>
      </c>
      <c r="DL56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13.609495591709186</v>
      </c>
    </row>
    <row r="57" spans="1:116" x14ac:dyDescent="0.2">
      <c r="A57">
        <v>236403</v>
      </c>
      <c r="B57" t="s">
        <v>621</v>
      </c>
      <c r="C57">
        <v>26</v>
      </c>
      <c r="D57">
        <v>4</v>
      </c>
      <c r="E57" s="1">
        <v>45919</v>
      </c>
      <c r="F57" t="s">
        <v>622</v>
      </c>
      <c r="G57">
        <v>1</v>
      </c>
      <c r="H57">
        <v>0</v>
      </c>
      <c r="I57" t="s">
        <v>623</v>
      </c>
      <c r="J57" t="s">
        <v>71</v>
      </c>
      <c r="K57">
        <v>81</v>
      </c>
      <c r="L57">
        <v>83</v>
      </c>
      <c r="M57">
        <v>28500000</v>
      </c>
      <c r="N57">
        <v>58000</v>
      </c>
      <c r="O57">
        <v>25</v>
      </c>
      <c r="P57" s="1">
        <v>36392</v>
      </c>
      <c r="Q57">
        <v>192</v>
      </c>
      <c r="R57">
        <v>82</v>
      </c>
      <c r="S57">
        <v>31</v>
      </c>
      <c r="T57" t="s">
        <v>250</v>
      </c>
      <c r="U57">
        <v>1</v>
      </c>
      <c r="V57">
        <v>52</v>
      </c>
      <c r="W57" t="s">
        <v>313</v>
      </c>
      <c r="X57" t="s">
        <v>112</v>
      </c>
      <c r="Y57">
        <v>5</v>
      </c>
      <c r="AA57" s="1">
        <v>45108</v>
      </c>
      <c r="AB57">
        <v>2028</v>
      </c>
      <c r="AC57">
        <v>108</v>
      </c>
      <c r="AD57" t="s">
        <v>624</v>
      </c>
      <c r="AH57" t="s">
        <v>18</v>
      </c>
      <c r="AI57">
        <v>3</v>
      </c>
      <c r="AJ57">
        <v>2</v>
      </c>
      <c r="AK57">
        <v>3</v>
      </c>
      <c r="AM57" t="s">
        <v>88</v>
      </c>
      <c r="AN57" t="s">
        <v>254</v>
      </c>
      <c r="AO57">
        <v>50600000</v>
      </c>
      <c r="AQ57">
        <v>0</v>
      </c>
      <c r="AR57" t="s">
        <v>625</v>
      </c>
      <c r="AS57">
        <v>74</v>
      </c>
      <c r="AT57">
        <v>53</v>
      </c>
      <c r="AU57">
        <v>69</v>
      </c>
      <c r="AV57">
        <v>69</v>
      </c>
      <c r="AW57">
        <v>81</v>
      </c>
      <c r="AX57">
        <v>82</v>
      </c>
      <c r="AY57">
        <v>68</v>
      </c>
      <c r="AZ57">
        <v>49</v>
      </c>
      <c r="BA57">
        <v>79</v>
      </c>
      <c r="BB57">
        <v>78</v>
      </c>
      <c r="BC57">
        <v>43</v>
      </c>
      <c r="BD57">
        <v>69</v>
      </c>
      <c r="BE57">
        <v>59</v>
      </c>
      <c r="BF57">
        <v>30</v>
      </c>
      <c r="BG57">
        <v>74</v>
      </c>
      <c r="BH57">
        <v>75</v>
      </c>
      <c r="BI57">
        <v>69</v>
      </c>
      <c r="BJ57">
        <v>78</v>
      </c>
      <c r="BK57">
        <v>50</v>
      </c>
      <c r="BL57">
        <v>81</v>
      </c>
      <c r="BM57">
        <v>55</v>
      </c>
      <c r="BN57">
        <v>65</v>
      </c>
      <c r="BO57">
        <v>85</v>
      </c>
      <c r="BP57">
        <v>83</v>
      </c>
      <c r="BQ57">
        <v>81</v>
      </c>
      <c r="BR57">
        <v>54</v>
      </c>
      <c r="BS57">
        <v>81</v>
      </c>
      <c r="BT57">
        <v>80</v>
      </c>
      <c r="BU57">
        <v>68</v>
      </c>
      <c r="BV57">
        <v>64</v>
      </c>
      <c r="BW57">
        <v>33</v>
      </c>
      <c r="BX57">
        <v>80</v>
      </c>
      <c r="BY57">
        <v>81</v>
      </c>
      <c r="BZ57">
        <v>85</v>
      </c>
      <c r="CA57">
        <v>76</v>
      </c>
      <c r="CB57">
        <v>13</v>
      </c>
      <c r="CC57">
        <v>8</v>
      </c>
      <c r="CD57">
        <v>7</v>
      </c>
      <c r="CE57">
        <v>8</v>
      </c>
      <c r="CF57">
        <v>8</v>
      </c>
      <c r="CH57" t="s">
        <v>37</v>
      </c>
      <c r="CI57" t="s">
        <v>37</v>
      </c>
      <c r="CJ57" t="s">
        <v>37</v>
      </c>
      <c r="CK57" t="s">
        <v>58</v>
      </c>
      <c r="CL57" t="s">
        <v>79</v>
      </c>
      <c r="CM57" t="s">
        <v>79</v>
      </c>
      <c r="CN57" t="s">
        <v>79</v>
      </c>
      <c r="CO57" t="s">
        <v>58</v>
      </c>
      <c r="CP57" t="s">
        <v>283</v>
      </c>
      <c r="CQ57" t="s">
        <v>283</v>
      </c>
      <c r="CR57" t="s">
        <v>283</v>
      </c>
      <c r="CS57" t="s">
        <v>354</v>
      </c>
      <c r="CT57" t="s">
        <v>29</v>
      </c>
      <c r="CU57" t="s">
        <v>29</v>
      </c>
      <c r="CV57" t="s">
        <v>29</v>
      </c>
      <c r="CW57" t="s">
        <v>354</v>
      </c>
      <c r="CX57" t="s">
        <v>30</v>
      </c>
      <c r="CY57" t="s">
        <v>7</v>
      </c>
      <c r="CZ57" t="s">
        <v>7</v>
      </c>
      <c r="DA57" t="s">
        <v>7</v>
      </c>
      <c r="DB57" t="s">
        <v>30</v>
      </c>
      <c r="DC57" t="s">
        <v>10</v>
      </c>
      <c r="DD57" t="s">
        <v>419</v>
      </c>
      <c r="DE57" t="s">
        <v>419</v>
      </c>
      <c r="DF57" t="s">
        <v>419</v>
      </c>
      <c r="DG57" t="s">
        <v>10</v>
      </c>
      <c r="DH57" t="s">
        <v>46</v>
      </c>
      <c r="DI5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13.2430892</v>
      </c>
      <c r="DJ57" t="s">
        <v>626</v>
      </c>
      <c r="DK57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2.3904927224999999</v>
      </c>
      <c r="DL57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13.341720387684108</v>
      </c>
    </row>
    <row r="58" spans="1:116" x14ac:dyDescent="0.2">
      <c r="A58">
        <v>180930</v>
      </c>
      <c r="B58" t="s">
        <v>627</v>
      </c>
      <c r="C58">
        <v>26</v>
      </c>
      <c r="D58">
        <v>4</v>
      </c>
      <c r="E58" s="1">
        <v>45919</v>
      </c>
      <c r="F58" t="s">
        <v>628</v>
      </c>
      <c r="G58">
        <v>0</v>
      </c>
      <c r="H58">
        <v>0</v>
      </c>
      <c r="I58" t="s">
        <v>629</v>
      </c>
      <c r="J58" t="s">
        <v>34</v>
      </c>
      <c r="K58">
        <v>81</v>
      </c>
      <c r="L58">
        <v>81</v>
      </c>
      <c r="M58">
        <v>9000000</v>
      </c>
      <c r="N58">
        <v>47000</v>
      </c>
      <c r="O58">
        <v>39</v>
      </c>
      <c r="P58" s="1">
        <v>31488</v>
      </c>
      <c r="Q58">
        <v>193</v>
      </c>
      <c r="R58">
        <v>80</v>
      </c>
      <c r="S58">
        <v>31</v>
      </c>
      <c r="T58" t="s">
        <v>250</v>
      </c>
      <c r="U58">
        <v>1</v>
      </c>
      <c r="V58">
        <v>110374</v>
      </c>
      <c r="W58" t="s">
        <v>348</v>
      </c>
      <c r="X58" t="s">
        <v>110</v>
      </c>
      <c r="Y58">
        <v>9</v>
      </c>
      <c r="AA58" s="1">
        <v>45848</v>
      </c>
      <c r="AB58">
        <v>2026</v>
      </c>
      <c r="AC58">
        <v>8</v>
      </c>
      <c r="AD58" t="s">
        <v>630</v>
      </c>
      <c r="AH58" t="s">
        <v>2</v>
      </c>
      <c r="AI58">
        <v>5</v>
      </c>
      <c r="AJ58">
        <v>3</v>
      </c>
      <c r="AK58">
        <v>3</v>
      </c>
      <c r="AM58" t="s">
        <v>127</v>
      </c>
      <c r="AN58" t="s">
        <v>254</v>
      </c>
      <c r="AO58">
        <v>15300000</v>
      </c>
      <c r="AQ58">
        <v>1</v>
      </c>
      <c r="AR58" t="s">
        <v>631</v>
      </c>
      <c r="AS58">
        <v>55</v>
      </c>
      <c r="AT58">
        <v>82</v>
      </c>
      <c r="AU58">
        <v>74</v>
      </c>
      <c r="AV58">
        <v>77</v>
      </c>
      <c r="AW58">
        <v>40</v>
      </c>
      <c r="AX58">
        <v>72</v>
      </c>
      <c r="AY58">
        <v>67</v>
      </c>
      <c r="AZ58">
        <v>84</v>
      </c>
      <c r="BA58">
        <v>86</v>
      </c>
      <c r="BB58">
        <v>79</v>
      </c>
      <c r="BC58">
        <v>84</v>
      </c>
      <c r="BD58">
        <v>77</v>
      </c>
      <c r="BE58">
        <v>67</v>
      </c>
      <c r="BF58">
        <v>54</v>
      </c>
      <c r="BG58">
        <v>75</v>
      </c>
      <c r="BH58">
        <v>82</v>
      </c>
      <c r="BI58">
        <v>53</v>
      </c>
      <c r="BJ58">
        <v>57</v>
      </c>
      <c r="BK58">
        <v>62</v>
      </c>
      <c r="BL58">
        <v>80</v>
      </c>
      <c r="BM58">
        <v>55</v>
      </c>
      <c r="BN58">
        <v>85</v>
      </c>
      <c r="BO58">
        <v>75</v>
      </c>
      <c r="BP58">
        <v>68</v>
      </c>
      <c r="BQ58">
        <v>77</v>
      </c>
      <c r="BR58">
        <v>77</v>
      </c>
      <c r="BS58">
        <v>65</v>
      </c>
      <c r="BT58">
        <v>50</v>
      </c>
      <c r="BU58">
        <v>83</v>
      </c>
      <c r="BV58">
        <v>77</v>
      </c>
      <c r="BW58">
        <v>67</v>
      </c>
      <c r="BX58">
        <v>87</v>
      </c>
      <c r="BY58">
        <v>39</v>
      </c>
      <c r="BZ58">
        <v>28</v>
      </c>
      <c r="CA58">
        <v>16</v>
      </c>
      <c r="CB58">
        <v>9</v>
      </c>
      <c r="CC58">
        <v>11</v>
      </c>
      <c r="CD58">
        <v>13</v>
      </c>
      <c r="CE58">
        <v>15</v>
      </c>
      <c r="CF58">
        <v>15</v>
      </c>
      <c r="CH58" t="s">
        <v>31</v>
      </c>
      <c r="CI58" t="s">
        <v>31</v>
      </c>
      <c r="CJ58" t="s">
        <v>31</v>
      </c>
      <c r="CK58" t="s">
        <v>119</v>
      </c>
      <c r="CL58" t="s">
        <v>66</v>
      </c>
      <c r="CM58" t="s">
        <v>66</v>
      </c>
      <c r="CN58" t="s">
        <v>66</v>
      </c>
      <c r="CO58" t="s">
        <v>119</v>
      </c>
      <c r="CP58" t="s">
        <v>30</v>
      </c>
      <c r="CQ58" t="s">
        <v>30</v>
      </c>
      <c r="CR58" t="s">
        <v>30</v>
      </c>
      <c r="CS58" t="s">
        <v>25</v>
      </c>
      <c r="CT58" t="s">
        <v>23</v>
      </c>
      <c r="CU58" t="s">
        <v>23</v>
      </c>
      <c r="CV58" t="s">
        <v>23</v>
      </c>
      <c r="CW58" t="s">
        <v>25</v>
      </c>
      <c r="CX58" t="s">
        <v>402</v>
      </c>
      <c r="CY58" t="s">
        <v>13</v>
      </c>
      <c r="CZ58" t="s">
        <v>13</v>
      </c>
      <c r="DA58" t="s">
        <v>13</v>
      </c>
      <c r="DB58" t="s">
        <v>402</v>
      </c>
      <c r="DC58" t="s">
        <v>465</v>
      </c>
      <c r="DD58" t="s">
        <v>465</v>
      </c>
      <c r="DE58" t="s">
        <v>465</v>
      </c>
      <c r="DF58" t="s">
        <v>465</v>
      </c>
      <c r="DG58" t="s">
        <v>465</v>
      </c>
      <c r="DH58" t="s">
        <v>32</v>
      </c>
      <c r="DI5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12.432247699999998</v>
      </c>
      <c r="DJ58" t="s">
        <v>632</v>
      </c>
      <c r="DK58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2.7149742250390623</v>
      </c>
      <c r="DL58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12.458430369644221</v>
      </c>
    </row>
    <row r="59" spans="1:116" x14ac:dyDescent="0.2">
      <c r="A59">
        <v>232756</v>
      </c>
      <c r="B59" t="s">
        <v>633</v>
      </c>
      <c r="C59">
        <v>26</v>
      </c>
      <c r="D59">
        <v>4</v>
      </c>
      <c r="E59" s="1">
        <v>45919</v>
      </c>
      <c r="F59" t="s">
        <v>634</v>
      </c>
      <c r="G59">
        <v>1</v>
      </c>
      <c r="H59">
        <v>0</v>
      </c>
      <c r="I59" t="s">
        <v>635</v>
      </c>
      <c r="J59" t="s">
        <v>71</v>
      </c>
      <c r="K59">
        <v>81</v>
      </c>
      <c r="L59">
        <v>84</v>
      </c>
      <c r="M59">
        <v>29500000</v>
      </c>
      <c r="N59">
        <v>54000</v>
      </c>
      <c r="O59">
        <v>27</v>
      </c>
      <c r="P59" s="1">
        <v>35783</v>
      </c>
      <c r="Q59">
        <v>185</v>
      </c>
      <c r="R59">
        <v>79</v>
      </c>
      <c r="S59">
        <v>31</v>
      </c>
      <c r="T59" t="s">
        <v>250</v>
      </c>
      <c r="U59">
        <v>1</v>
      </c>
      <c r="V59">
        <v>47</v>
      </c>
      <c r="W59" t="s">
        <v>295</v>
      </c>
      <c r="X59" t="s">
        <v>47</v>
      </c>
      <c r="Y59">
        <v>23</v>
      </c>
      <c r="AA59" s="1">
        <v>44378</v>
      </c>
      <c r="AB59">
        <v>2027</v>
      </c>
      <c r="AC59">
        <v>14</v>
      </c>
      <c r="AD59" t="s">
        <v>636</v>
      </c>
      <c r="AH59" t="s">
        <v>2</v>
      </c>
      <c r="AI59">
        <v>4</v>
      </c>
      <c r="AJ59">
        <v>2</v>
      </c>
      <c r="AK59">
        <v>3</v>
      </c>
      <c r="AM59" t="s">
        <v>88</v>
      </c>
      <c r="AN59" t="s">
        <v>254</v>
      </c>
      <c r="AO59">
        <v>52400000</v>
      </c>
      <c r="AQ59">
        <v>0</v>
      </c>
      <c r="AR59" t="s">
        <v>413</v>
      </c>
      <c r="AS59">
        <v>81</v>
      </c>
      <c r="AT59">
        <v>40</v>
      </c>
      <c r="AU59">
        <v>60</v>
      </c>
      <c r="AV59">
        <v>67</v>
      </c>
      <c r="AW59">
        <v>82</v>
      </c>
      <c r="AX59">
        <v>78</v>
      </c>
      <c r="AY59">
        <v>53</v>
      </c>
      <c r="AZ59">
        <v>33</v>
      </c>
      <c r="BA59">
        <v>80</v>
      </c>
      <c r="BB59">
        <v>75</v>
      </c>
      <c r="BC59">
        <v>32</v>
      </c>
      <c r="BD59">
        <v>61</v>
      </c>
      <c r="BE59">
        <v>38</v>
      </c>
      <c r="BF59">
        <v>40</v>
      </c>
      <c r="BG59">
        <v>65</v>
      </c>
      <c r="BH59">
        <v>70</v>
      </c>
      <c r="BI59">
        <v>78</v>
      </c>
      <c r="BJ59">
        <v>84</v>
      </c>
      <c r="BK59">
        <v>74</v>
      </c>
      <c r="BL59">
        <v>83</v>
      </c>
      <c r="BM59">
        <v>67</v>
      </c>
      <c r="BN59">
        <v>56</v>
      </c>
      <c r="BO59">
        <v>88</v>
      </c>
      <c r="BP59">
        <v>74</v>
      </c>
      <c r="BQ59">
        <v>76</v>
      </c>
      <c r="BR59">
        <v>45</v>
      </c>
      <c r="BS59">
        <v>86</v>
      </c>
      <c r="BT59">
        <v>81</v>
      </c>
      <c r="BU59">
        <v>37</v>
      </c>
      <c r="BV59">
        <v>48</v>
      </c>
      <c r="BW59">
        <v>27</v>
      </c>
      <c r="BX59">
        <v>81</v>
      </c>
      <c r="BY59">
        <v>81</v>
      </c>
      <c r="BZ59">
        <v>86</v>
      </c>
      <c r="CA59">
        <v>78</v>
      </c>
      <c r="CB59">
        <v>10</v>
      </c>
      <c r="CC59">
        <v>13</v>
      </c>
      <c r="CD59">
        <v>10</v>
      </c>
      <c r="CE59">
        <v>11</v>
      </c>
      <c r="CF59">
        <v>7</v>
      </c>
      <c r="CH59" t="s">
        <v>383</v>
      </c>
      <c r="CI59" t="s">
        <v>383</v>
      </c>
      <c r="CJ59" t="s">
        <v>383</v>
      </c>
      <c r="CK59" t="s">
        <v>49</v>
      </c>
      <c r="CL59" t="s">
        <v>117</v>
      </c>
      <c r="CM59" t="s">
        <v>117</v>
      </c>
      <c r="CN59" t="s">
        <v>117</v>
      </c>
      <c r="CO59" t="s">
        <v>49</v>
      </c>
      <c r="CP59" t="s">
        <v>13</v>
      </c>
      <c r="CQ59" t="s">
        <v>13</v>
      </c>
      <c r="CR59" t="s">
        <v>13</v>
      </c>
      <c r="CS59" t="s">
        <v>318</v>
      </c>
      <c r="CT59" t="s">
        <v>11</v>
      </c>
      <c r="CU59" t="s">
        <v>11</v>
      </c>
      <c r="CV59" t="s">
        <v>11</v>
      </c>
      <c r="CW59" t="s">
        <v>318</v>
      </c>
      <c r="CX59" t="s">
        <v>25</v>
      </c>
      <c r="CY59" t="s">
        <v>24</v>
      </c>
      <c r="CZ59" t="s">
        <v>24</v>
      </c>
      <c r="DA59" t="s">
        <v>24</v>
      </c>
      <c r="DB59" t="s">
        <v>25</v>
      </c>
      <c r="DC59" t="s">
        <v>30</v>
      </c>
      <c r="DD59" t="s">
        <v>305</v>
      </c>
      <c r="DE59" t="s">
        <v>305</v>
      </c>
      <c r="DF59" t="s">
        <v>305</v>
      </c>
      <c r="DG59" t="s">
        <v>30</v>
      </c>
      <c r="DH59" t="s">
        <v>293</v>
      </c>
      <c r="DI5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13.4159671</v>
      </c>
      <c r="DJ59" t="s">
        <v>637</v>
      </c>
      <c r="DK59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1.7961822756250001</v>
      </c>
      <c r="DL59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13.486073869861793</v>
      </c>
    </row>
    <row r="60" spans="1:116" x14ac:dyDescent="0.2">
      <c r="A60">
        <v>228251</v>
      </c>
      <c r="B60" t="s">
        <v>638</v>
      </c>
      <c r="C60">
        <v>26</v>
      </c>
      <c r="D60">
        <v>4</v>
      </c>
      <c r="E60" s="1">
        <v>45919</v>
      </c>
      <c r="F60" t="s">
        <v>639</v>
      </c>
      <c r="G60">
        <v>0</v>
      </c>
      <c r="H60">
        <v>1</v>
      </c>
      <c r="I60" t="s">
        <v>640</v>
      </c>
      <c r="J60" t="s">
        <v>115</v>
      </c>
      <c r="K60">
        <v>80</v>
      </c>
      <c r="L60">
        <v>80</v>
      </c>
      <c r="M60">
        <v>20500000</v>
      </c>
      <c r="N60">
        <v>63000</v>
      </c>
      <c r="O60">
        <v>29</v>
      </c>
      <c r="P60" s="1">
        <v>35235</v>
      </c>
      <c r="Q60">
        <v>186</v>
      </c>
      <c r="R60">
        <v>77</v>
      </c>
      <c r="S60">
        <v>31</v>
      </c>
      <c r="T60" t="s">
        <v>250</v>
      </c>
      <c r="U60">
        <v>1</v>
      </c>
      <c r="V60">
        <v>52</v>
      </c>
      <c r="W60" t="s">
        <v>313</v>
      </c>
      <c r="X60" t="s">
        <v>110</v>
      </c>
      <c r="Y60">
        <v>7</v>
      </c>
      <c r="AA60" s="1">
        <v>42917</v>
      </c>
      <c r="AB60">
        <v>2026</v>
      </c>
      <c r="AC60">
        <v>27</v>
      </c>
      <c r="AD60" t="s">
        <v>267</v>
      </c>
      <c r="AE60">
        <v>1343</v>
      </c>
      <c r="AF60" t="s">
        <v>381</v>
      </c>
      <c r="AG60">
        <v>26</v>
      </c>
      <c r="AH60" t="s">
        <v>2</v>
      </c>
      <c r="AI60">
        <v>4</v>
      </c>
      <c r="AJ60">
        <v>3</v>
      </c>
      <c r="AK60">
        <v>3</v>
      </c>
      <c r="AM60" t="s">
        <v>88</v>
      </c>
      <c r="AN60" t="s">
        <v>254</v>
      </c>
      <c r="AO60">
        <v>34900000</v>
      </c>
      <c r="AQ60">
        <v>1</v>
      </c>
      <c r="AR60" t="s">
        <v>641</v>
      </c>
      <c r="AS60">
        <v>75</v>
      </c>
      <c r="AT60">
        <v>77</v>
      </c>
      <c r="AU60">
        <v>80</v>
      </c>
      <c r="AV60">
        <v>80</v>
      </c>
      <c r="AW60">
        <v>73</v>
      </c>
      <c r="AX60">
        <v>73</v>
      </c>
      <c r="AY60">
        <v>74</v>
      </c>
      <c r="AZ60">
        <v>76</v>
      </c>
      <c r="BA60">
        <v>74</v>
      </c>
      <c r="BB60">
        <v>84</v>
      </c>
      <c r="BC60">
        <v>74</v>
      </c>
      <c r="BD60">
        <v>78</v>
      </c>
      <c r="BE60">
        <v>74</v>
      </c>
      <c r="BF60">
        <v>79</v>
      </c>
      <c r="BG60">
        <v>80</v>
      </c>
      <c r="BH60">
        <v>84</v>
      </c>
      <c r="BI60">
        <v>76</v>
      </c>
      <c r="BJ60">
        <v>74</v>
      </c>
      <c r="BK60">
        <v>79</v>
      </c>
      <c r="BL60">
        <v>79</v>
      </c>
      <c r="BM60">
        <v>72</v>
      </c>
      <c r="BN60">
        <v>79</v>
      </c>
      <c r="BO60">
        <v>81</v>
      </c>
      <c r="BP60">
        <v>77</v>
      </c>
      <c r="BQ60">
        <v>70</v>
      </c>
      <c r="BR60">
        <v>76</v>
      </c>
      <c r="BS60">
        <v>74</v>
      </c>
      <c r="BT60">
        <v>69</v>
      </c>
      <c r="BU60">
        <v>77</v>
      </c>
      <c r="BV60">
        <v>83</v>
      </c>
      <c r="BW60">
        <v>80</v>
      </c>
      <c r="BX60">
        <v>78</v>
      </c>
      <c r="BY60">
        <v>73</v>
      </c>
      <c r="BZ60">
        <v>74</v>
      </c>
      <c r="CA60">
        <v>72</v>
      </c>
      <c r="CB60">
        <v>12</v>
      </c>
      <c r="CC60">
        <v>7</v>
      </c>
      <c r="CD60">
        <v>10</v>
      </c>
      <c r="CE60">
        <v>13</v>
      </c>
      <c r="CF60">
        <v>11</v>
      </c>
      <c r="CH60" t="s">
        <v>30</v>
      </c>
      <c r="CI60" t="s">
        <v>30</v>
      </c>
      <c r="CJ60" t="s">
        <v>30</v>
      </c>
      <c r="CK60" t="s">
        <v>44</v>
      </c>
      <c r="CL60" t="s">
        <v>44</v>
      </c>
      <c r="CM60" t="s">
        <v>44</v>
      </c>
      <c r="CN60" t="s">
        <v>44</v>
      </c>
      <c r="CO60" t="s">
        <v>44</v>
      </c>
      <c r="CP60" t="s">
        <v>35</v>
      </c>
      <c r="CQ60" t="s">
        <v>35</v>
      </c>
      <c r="CR60" t="s">
        <v>35</v>
      </c>
      <c r="CS60" t="s">
        <v>67</v>
      </c>
      <c r="CT60" t="s">
        <v>35</v>
      </c>
      <c r="CU60" t="s">
        <v>35</v>
      </c>
      <c r="CV60" t="s">
        <v>35</v>
      </c>
      <c r="CW60" t="s">
        <v>67</v>
      </c>
      <c r="CX60" t="s">
        <v>24</v>
      </c>
      <c r="CY60" t="s">
        <v>30</v>
      </c>
      <c r="CZ60" t="s">
        <v>30</v>
      </c>
      <c r="DA60" t="s">
        <v>30</v>
      </c>
      <c r="DB60" t="s">
        <v>24</v>
      </c>
      <c r="DC60" t="s">
        <v>25</v>
      </c>
      <c r="DD60" t="s">
        <v>23</v>
      </c>
      <c r="DE60" t="s">
        <v>23</v>
      </c>
      <c r="DF60" t="s">
        <v>23</v>
      </c>
      <c r="DG60" t="s">
        <v>25</v>
      </c>
      <c r="DH60" t="s">
        <v>293</v>
      </c>
      <c r="DI6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13.407110199999998</v>
      </c>
      <c r="DJ60" t="s">
        <v>642</v>
      </c>
      <c r="DK60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3.0016578603515631</v>
      </c>
      <c r="DL60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13.505595455467152</v>
      </c>
    </row>
    <row r="61" spans="1:116" x14ac:dyDescent="0.2">
      <c r="A61">
        <v>213666</v>
      </c>
      <c r="B61" t="s">
        <v>643</v>
      </c>
      <c r="C61">
        <v>26</v>
      </c>
      <c r="D61">
        <v>4</v>
      </c>
      <c r="E61" s="1">
        <v>45919</v>
      </c>
      <c r="F61" t="s">
        <v>644</v>
      </c>
      <c r="G61">
        <v>0</v>
      </c>
      <c r="H61">
        <v>1</v>
      </c>
      <c r="I61" t="s">
        <v>645</v>
      </c>
      <c r="J61" t="s">
        <v>100</v>
      </c>
      <c r="K61">
        <v>80</v>
      </c>
      <c r="L61">
        <v>80</v>
      </c>
      <c r="M61">
        <v>20500000</v>
      </c>
      <c r="N61">
        <v>55000</v>
      </c>
      <c r="O61">
        <v>29</v>
      </c>
      <c r="P61" s="1">
        <v>35087</v>
      </c>
      <c r="Q61">
        <v>191</v>
      </c>
      <c r="R61">
        <v>88</v>
      </c>
      <c r="S61">
        <v>31</v>
      </c>
      <c r="T61" t="s">
        <v>250</v>
      </c>
      <c r="U61">
        <v>1</v>
      </c>
      <c r="V61">
        <v>47</v>
      </c>
      <c r="W61" t="s">
        <v>295</v>
      </c>
      <c r="X61" t="s">
        <v>646</v>
      </c>
      <c r="Y61">
        <v>8</v>
      </c>
      <c r="AA61" s="1">
        <v>45108</v>
      </c>
      <c r="AB61">
        <v>2027</v>
      </c>
      <c r="AC61">
        <v>14</v>
      </c>
      <c r="AD61" t="s">
        <v>636</v>
      </c>
      <c r="AH61" t="s">
        <v>2</v>
      </c>
      <c r="AI61">
        <v>4</v>
      </c>
      <c r="AJ61">
        <v>4</v>
      </c>
      <c r="AK61">
        <v>3</v>
      </c>
      <c r="AM61" t="s">
        <v>88</v>
      </c>
      <c r="AN61" t="s">
        <v>254</v>
      </c>
      <c r="AO61">
        <v>34900000</v>
      </c>
      <c r="AQ61">
        <v>0</v>
      </c>
      <c r="AR61" t="s">
        <v>647</v>
      </c>
      <c r="AS61">
        <v>81</v>
      </c>
      <c r="AT61">
        <v>76</v>
      </c>
      <c r="AU61">
        <v>79</v>
      </c>
      <c r="AV61">
        <v>80</v>
      </c>
      <c r="AW61">
        <v>76</v>
      </c>
      <c r="AX61">
        <v>80</v>
      </c>
      <c r="AY61">
        <v>75</v>
      </c>
      <c r="AZ61">
        <v>76</v>
      </c>
      <c r="BA61">
        <v>85</v>
      </c>
      <c r="BB61">
        <v>84</v>
      </c>
      <c r="BC61">
        <v>60</v>
      </c>
      <c r="BD61">
        <v>81</v>
      </c>
      <c r="BE61">
        <v>70</v>
      </c>
      <c r="BF61">
        <v>57</v>
      </c>
      <c r="BG61">
        <v>80</v>
      </c>
      <c r="BH61">
        <v>83</v>
      </c>
      <c r="BI61">
        <v>78</v>
      </c>
      <c r="BJ61">
        <v>84</v>
      </c>
      <c r="BK61">
        <v>75</v>
      </c>
      <c r="BL61">
        <v>79</v>
      </c>
      <c r="BM61">
        <v>60</v>
      </c>
      <c r="BN61">
        <v>82</v>
      </c>
      <c r="BO61">
        <v>94</v>
      </c>
      <c r="BP61">
        <v>72</v>
      </c>
      <c r="BQ61">
        <v>85</v>
      </c>
      <c r="BR61">
        <v>75</v>
      </c>
      <c r="BS61">
        <v>75</v>
      </c>
      <c r="BT61">
        <v>76</v>
      </c>
      <c r="BU61">
        <v>83</v>
      </c>
      <c r="BV61">
        <v>79</v>
      </c>
      <c r="BW61">
        <v>56</v>
      </c>
      <c r="BX61">
        <v>82</v>
      </c>
      <c r="BY61">
        <v>75</v>
      </c>
      <c r="BZ61">
        <v>76</v>
      </c>
      <c r="CA61">
        <v>70</v>
      </c>
      <c r="CB61">
        <v>11</v>
      </c>
      <c r="CC61">
        <v>7</v>
      </c>
      <c r="CD61">
        <v>12</v>
      </c>
      <c r="CE61">
        <v>15</v>
      </c>
      <c r="CF61">
        <v>13</v>
      </c>
      <c r="CH61" t="s">
        <v>648</v>
      </c>
      <c r="CI61" t="s">
        <v>648</v>
      </c>
      <c r="CJ61" t="s">
        <v>648</v>
      </c>
      <c r="CK61" t="s">
        <v>35</v>
      </c>
      <c r="CL61" t="s">
        <v>648</v>
      </c>
      <c r="CM61" t="s">
        <v>648</v>
      </c>
      <c r="CN61" t="s">
        <v>648</v>
      </c>
      <c r="CO61" t="s">
        <v>35</v>
      </c>
      <c r="CP61" t="s">
        <v>648</v>
      </c>
      <c r="CQ61" t="s">
        <v>648</v>
      </c>
      <c r="CR61" t="s">
        <v>648</v>
      </c>
      <c r="CS61" t="s">
        <v>35</v>
      </c>
      <c r="CT61" t="s">
        <v>35</v>
      </c>
      <c r="CU61" t="s">
        <v>35</v>
      </c>
      <c r="CV61" t="s">
        <v>35</v>
      </c>
      <c r="CW61" t="s">
        <v>35</v>
      </c>
      <c r="CX61" t="s">
        <v>30</v>
      </c>
      <c r="CY61" t="s">
        <v>62</v>
      </c>
      <c r="CZ61" t="s">
        <v>62</v>
      </c>
      <c r="DA61" t="s">
        <v>62</v>
      </c>
      <c r="DB61" t="s">
        <v>30</v>
      </c>
      <c r="DC61" t="s">
        <v>30</v>
      </c>
      <c r="DD61" t="s">
        <v>67</v>
      </c>
      <c r="DE61" t="s">
        <v>67</v>
      </c>
      <c r="DF61" t="s">
        <v>67</v>
      </c>
      <c r="DG61" t="s">
        <v>30</v>
      </c>
      <c r="DH61" t="s">
        <v>27</v>
      </c>
      <c r="DI6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14.552747699999999</v>
      </c>
      <c r="DJ61" t="s">
        <v>649</v>
      </c>
      <c r="DK61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2.8774160900000001</v>
      </c>
      <c r="DL61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14.676143701388828</v>
      </c>
    </row>
    <row r="62" spans="1:116" x14ac:dyDescent="0.2">
      <c r="A62">
        <v>223697</v>
      </c>
      <c r="B62" t="s">
        <v>650</v>
      </c>
      <c r="C62">
        <v>26</v>
      </c>
      <c r="D62">
        <v>4</v>
      </c>
      <c r="E62" s="1">
        <v>45919</v>
      </c>
      <c r="F62" t="s">
        <v>651</v>
      </c>
      <c r="G62">
        <v>1</v>
      </c>
      <c r="H62">
        <v>0</v>
      </c>
      <c r="I62" t="s">
        <v>652</v>
      </c>
      <c r="J62" t="s">
        <v>82</v>
      </c>
      <c r="K62">
        <v>80</v>
      </c>
      <c r="L62">
        <v>80</v>
      </c>
      <c r="M62">
        <v>18000000</v>
      </c>
      <c r="N62">
        <v>56000</v>
      </c>
      <c r="O62">
        <v>30</v>
      </c>
      <c r="P62" s="1">
        <v>34520</v>
      </c>
      <c r="Q62">
        <v>183</v>
      </c>
      <c r="R62">
        <v>76</v>
      </c>
      <c r="S62">
        <v>31</v>
      </c>
      <c r="T62" t="s">
        <v>250</v>
      </c>
      <c r="U62">
        <v>1</v>
      </c>
      <c r="V62">
        <v>110374</v>
      </c>
      <c r="W62" t="s">
        <v>348</v>
      </c>
      <c r="X62" t="s">
        <v>104</v>
      </c>
      <c r="Y62">
        <v>21</v>
      </c>
      <c r="AA62" s="1">
        <v>45839</v>
      </c>
      <c r="AB62">
        <v>2028</v>
      </c>
      <c r="AC62">
        <v>21</v>
      </c>
      <c r="AD62" t="s">
        <v>653</v>
      </c>
      <c r="AH62" t="s">
        <v>18</v>
      </c>
      <c r="AI62">
        <v>3</v>
      </c>
      <c r="AJ62">
        <v>3</v>
      </c>
      <c r="AK62">
        <v>3</v>
      </c>
      <c r="AM62" t="s">
        <v>3</v>
      </c>
      <c r="AN62" t="s">
        <v>254</v>
      </c>
      <c r="AO62">
        <v>30600000</v>
      </c>
      <c r="AQ62">
        <v>0</v>
      </c>
      <c r="AS62">
        <v>72</v>
      </c>
      <c r="AT62">
        <v>74</v>
      </c>
      <c r="AU62">
        <v>73</v>
      </c>
      <c r="AV62">
        <v>76</v>
      </c>
      <c r="AW62">
        <v>77</v>
      </c>
      <c r="AX62">
        <v>77</v>
      </c>
      <c r="AY62">
        <v>76</v>
      </c>
      <c r="AZ62">
        <v>78</v>
      </c>
      <c r="BA62">
        <v>82</v>
      </c>
      <c r="BB62">
        <v>77</v>
      </c>
      <c r="BC62">
        <v>69</v>
      </c>
      <c r="BD62">
        <v>76</v>
      </c>
      <c r="BE62">
        <v>69</v>
      </c>
      <c r="BF62">
        <v>58</v>
      </c>
      <c r="BG62">
        <v>75</v>
      </c>
      <c r="BH62">
        <v>78</v>
      </c>
      <c r="BI62">
        <v>76</v>
      </c>
      <c r="BJ62">
        <v>69</v>
      </c>
      <c r="BK62">
        <v>71</v>
      </c>
      <c r="BL62">
        <v>79</v>
      </c>
      <c r="BM62">
        <v>67</v>
      </c>
      <c r="BN62">
        <v>76</v>
      </c>
      <c r="BO62">
        <v>87</v>
      </c>
      <c r="BP62">
        <v>86</v>
      </c>
      <c r="BQ62">
        <v>71</v>
      </c>
      <c r="BR62">
        <v>68</v>
      </c>
      <c r="BS62">
        <v>80</v>
      </c>
      <c r="BT62">
        <v>77</v>
      </c>
      <c r="BU62">
        <v>80</v>
      </c>
      <c r="BV62">
        <v>67</v>
      </c>
      <c r="BW62">
        <v>55</v>
      </c>
      <c r="BX62">
        <v>77</v>
      </c>
      <c r="BY62">
        <v>74</v>
      </c>
      <c r="BZ62">
        <v>78</v>
      </c>
      <c r="CA62">
        <v>80</v>
      </c>
      <c r="CB62">
        <v>7</v>
      </c>
      <c r="CC62">
        <v>16</v>
      </c>
      <c r="CD62">
        <v>15</v>
      </c>
      <c r="CE62">
        <v>16</v>
      </c>
      <c r="CF62">
        <v>10</v>
      </c>
      <c r="CH62" t="s">
        <v>30</v>
      </c>
      <c r="CI62" t="s">
        <v>30</v>
      </c>
      <c r="CJ62" t="s">
        <v>30</v>
      </c>
      <c r="CK62" t="s">
        <v>97</v>
      </c>
      <c r="CL62" t="s">
        <v>97</v>
      </c>
      <c r="CM62" t="s">
        <v>97</v>
      </c>
      <c r="CN62" t="s">
        <v>97</v>
      </c>
      <c r="CO62" t="s">
        <v>97</v>
      </c>
      <c r="CP62" t="s">
        <v>25</v>
      </c>
      <c r="CQ62" t="s">
        <v>25</v>
      </c>
      <c r="CR62" t="s">
        <v>25</v>
      </c>
      <c r="CS62" t="s">
        <v>24</v>
      </c>
      <c r="CT62" t="s">
        <v>24</v>
      </c>
      <c r="CU62" t="s">
        <v>24</v>
      </c>
      <c r="CV62" t="s">
        <v>24</v>
      </c>
      <c r="CW62" t="s">
        <v>24</v>
      </c>
      <c r="CX62" t="s">
        <v>62</v>
      </c>
      <c r="CY62" t="s">
        <v>30</v>
      </c>
      <c r="CZ62" t="s">
        <v>30</v>
      </c>
      <c r="DA62" t="s">
        <v>30</v>
      </c>
      <c r="DB62" t="s">
        <v>62</v>
      </c>
      <c r="DC62" t="s">
        <v>62</v>
      </c>
      <c r="DD62" t="s">
        <v>30</v>
      </c>
      <c r="DE62" t="s">
        <v>30</v>
      </c>
      <c r="DF62" t="s">
        <v>30</v>
      </c>
      <c r="DG62" t="s">
        <v>62</v>
      </c>
      <c r="DH62" t="s">
        <v>32</v>
      </c>
      <c r="DI6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13.2339494</v>
      </c>
      <c r="DJ62" t="s">
        <v>654</v>
      </c>
      <c r="DK62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2.6070557056250001</v>
      </c>
      <c r="DL62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13.406206684853201</v>
      </c>
    </row>
    <row r="63" spans="1:116" x14ac:dyDescent="0.2">
      <c r="A63">
        <v>210406</v>
      </c>
      <c r="B63" t="s">
        <v>655</v>
      </c>
      <c r="C63">
        <v>26</v>
      </c>
      <c r="D63">
        <v>4</v>
      </c>
      <c r="E63" s="1">
        <v>45919</v>
      </c>
      <c r="F63" t="s">
        <v>656</v>
      </c>
      <c r="G63">
        <v>0</v>
      </c>
      <c r="H63">
        <v>1</v>
      </c>
      <c r="I63" t="s">
        <v>657</v>
      </c>
      <c r="J63" t="s">
        <v>266</v>
      </c>
      <c r="K63">
        <v>80</v>
      </c>
      <c r="L63">
        <v>80</v>
      </c>
      <c r="M63">
        <v>17500000</v>
      </c>
      <c r="N63">
        <v>39000</v>
      </c>
      <c r="O63">
        <v>31</v>
      </c>
      <c r="P63" s="1">
        <v>34474</v>
      </c>
      <c r="Q63">
        <v>180</v>
      </c>
      <c r="R63">
        <v>75</v>
      </c>
      <c r="S63">
        <v>31</v>
      </c>
      <c r="T63" t="s">
        <v>250</v>
      </c>
      <c r="U63">
        <v>1</v>
      </c>
      <c r="V63">
        <v>44</v>
      </c>
      <c r="W63" t="s">
        <v>251</v>
      </c>
      <c r="X63" t="s">
        <v>110</v>
      </c>
      <c r="Y63">
        <v>7</v>
      </c>
      <c r="AA63" s="1">
        <v>45474</v>
      </c>
      <c r="AB63">
        <v>2028</v>
      </c>
      <c r="AC63">
        <v>37</v>
      </c>
      <c r="AD63" t="s">
        <v>658</v>
      </c>
      <c r="AE63">
        <v>1353</v>
      </c>
      <c r="AF63" t="s">
        <v>101</v>
      </c>
      <c r="AG63">
        <v>10</v>
      </c>
      <c r="AH63" t="s">
        <v>2</v>
      </c>
      <c r="AI63">
        <v>4</v>
      </c>
      <c r="AJ63">
        <v>3</v>
      </c>
      <c r="AK63">
        <v>3</v>
      </c>
      <c r="AM63" t="s">
        <v>3</v>
      </c>
      <c r="AN63" t="s">
        <v>254</v>
      </c>
      <c r="AO63">
        <v>28900000</v>
      </c>
      <c r="AQ63">
        <v>0</v>
      </c>
      <c r="AR63" t="s">
        <v>6</v>
      </c>
      <c r="AS63">
        <v>76</v>
      </c>
      <c r="AT63">
        <v>76</v>
      </c>
      <c r="AU63">
        <v>80</v>
      </c>
      <c r="AV63">
        <v>82</v>
      </c>
      <c r="AW63">
        <v>70</v>
      </c>
      <c r="AX63">
        <v>59</v>
      </c>
      <c r="AY63">
        <v>73</v>
      </c>
      <c r="AZ63">
        <v>74</v>
      </c>
      <c r="BA63">
        <v>52</v>
      </c>
      <c r="BB63">
        <v>84</v>
      </c>
      <c r="BC63">
        <v>75</v>
      </c>
      <c r="BD63">
        <v>82</v>
      </c>
      <c r="BE63">
        <v>80</v>
      </c>
      <c r="BF63">
        <v>65</v>
      </c>
      <c r="BG63">
        <v>81</v>
      </c>
      <c r="BH63">
        <v>84</v>
      </c>
      <c r="BI63">
        <v>78</v>
      </c>
      <c r="BJ63">
        <v>75</v>
      </c>
      <c r="BK63">
        <v>82</v>
      </c>
      <c r="BL63">
        <v>81</v>
      </c>
      <c r="BM63">
        <v>79</v>
      </c>
      <c r="BN63">
        <v>79</v>
      </c>
      <c r="BO63">
        <v>66</v>
      </c>
      <c r="BP63">
        <v>65</v>
      </c>
      <c r="BQ63">
        <v>56</v>
      </c>
      <c r="BR63">
        <v>82</v>
      </c>
      <c r="BS63">
        <v>58</v>
      </c>
      <c r="BT63">
        <v>74</v>
      </c>
      <c r="BU63">
        <v>76</v>
      </c>
      <c r="BV63">
        <v>84</v>
      </c>
      <c r="BW63">
        <v>62</v>
      </c>
      <c r="BX63">
        <v>82</v>
      </c>
      <c r="BY63">
        <v>69</v>
      </c>
      <c r="BZ63">
        <v>75</v>
      </c>
      <c r="CA63">
        <v>72</v>
      </c>
      <c r="CB63">
        <v>12</v>
      </c>
      <c r="CC63">
        <v>9</v>
      </c>
      <c r="CD63">
        <v>12</v>
      </c>
      <c r="CE63">
        <v>11</v>
      </c>
      <c r="CF63">
        <v>6</v>
      </c>
      <c r="CH63" t="s">
        <v>25</v>
      </c>
      <c r="CI63" t="s">
        <v>25</v>
      </c>
      <c r="CJ63" t="s">
        <v>25</v>
      </c>
      <c r="CK63" t="s">
        <v>35</v>
      </c>
      <c r="CL63" t="s">
        <v>35</v>
      </c>
      <c r="CM63" t="s">
        <v>35</v>
      </c>
      <c r="CN63" t="s">
        <v>35</v>
      </c>
      <c r="CO63" t="s">
        <v>35</v>
      </c>
      <c r="CP63" t="s">
        <v>648</v>
      </c>
      <c r="CQ63" t="s">
        <v>648</v>
      </c>
      <c r="CR63" t="s">
        <v>648</v>
      </c>
      <c r="CS63" t="s">
        <v>67</v>
      </c>
      <c r="CT63" t="s">
        <v>35</v>
      </c>
      <c r="CU63" t="s">
        <v>35</v>
      </c>
      <c r="CV63" t="s">
        <v>35</v>
      </c>
      <c r="CW63" t="s">
        <v>67</v>
      </c>
      <c r="CX63" t="s">
        <v>25</v>
      </c>
      <c r="CY63" t="s">
        <v>24</v>
      </c>
      <c r="CZ63" t="s">
        <v>24</v>
      </c>
      <c r="DA63" t="s">
        <v>24</v>
      </c>
      <c r="DB63" t="s">
        <v>25</v>
      </c>
      <c r="DC63" t="s">
        <v>23</v>
      </c>
      <c r="DD63" t="s">
        <v>283</v>
      </c>
      <c r="DE63" t="s">
        <v>283</v>
      </c>
      <c r="DF63" t="s">
        <v>283</v>
      </c>
      <c r="DG63" t="s">
        <v>23</v>
      </c>
      <c r="DH63" t="s">
        <v>46</v>
      </c>
      <c r="DI6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12.5096302</v>
      </c>
      <c r="DJ63" t="s">
        <v>659</v>
      </c>
      <c r="DK63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3.0391577600000002</v>
      </c>
      <c r="DL63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12.646006431621119</v>
      </c>
    </row>
    <row r="64" spans="1:116" x14ac:dyDescent="0.2">
      <c r="A64">
        <v>223273</v>
      </c>
      <c r="B64" t="s">
        <v>660</v>
      </c>
      <c r="C64">
        <v>26</v>
      </c>
      <c r="D64">
        <v>4</v>
      </c>
      <c r="E64" s="1">
        <v>45919</v>
      </c>
      <c r="F64" t="s">
        <v>661</v>
      </c>
      <c r="G64">
        <v>0</v>
      </c>
      <c r="H64">
        <v>1</v>
      </c>
      <c r="I64" t="s">
        <v>662</v>
      </c>
      <c r="J64" t="s">
        <v>100</v>
      </c>
      <c r="K64">
        <v>80</v>
      </c>
      <c r="L64">
        <v>80</v>
      </c>
      <c r="M64">
        <v>20000000</v>
      </c>
      <c r="N64">
        <v>73000</v>
      </c>
      <c r="O64">
        <v>30</v>
      </c>
      <c r="P64" s="1">
        <v>34739</v>
      </c>
      <c r="Q64">
        <v>186</v>
      </c>
      <c r="R64">
        <v>80</v>
      </c>
      <c r="S64">
        <v>31</v>
      </c>
      <c r="T64" t="s">
        <v>250</v>
      </c>
      <c r="U64">
        <v>1</v>
      </c>
      <c r="V64">
        <v>39</v>
      </c>
      <c r="W64" t="s">
        <v>396</v>
      </c>
      <c r="X64" t="s">
        <v>116</v>
      </c>
      <c r="Y64">
        <v>8</v>
      </c>
      <c r="AA64" s="1">
        <v>44075</v>
      </c>
      <c r="AB64">
        <v>2028</v>
      </c>
      <c r="AC64">
        <v>10</v>
      </c>
      <c r="AD64" t="s">
        <v>431</v>
      </c>
      <c r="AE64">
        <v>1328</v>
      </c>
      <c r="AF64" t="s">
        <v>110</v>
      </c>
      <c r="AG64">
        <v>15</v>
      </c>
      <c r="AH64" t="s">
        <v>2</v>
      </c>
      <c r="AI64">
        <v>4</v>
      </c>
      <c r="AJ64">
        <v>4</v>
      </c>
      <c r="AK64">
        <v>3</v>
      </c>
      <c r="AM64" t="s">
        <v>88</v>
      </c>
      <c r="AN64" t="s">
        <v>4</v>
      </c>
      <c r="AO64">
        <v>34000000</v>
      </c>
      <c r="AQ64">
        <v>0</v>
      </c>
      <c r="AR64" t="s">
        <v>663</v>
      </c>
      <c r="AS64">
        <v>69</v>
      </c>
      <c r="AT64">
        <v>78</v>
      </c>
      <c r="AU64">
        <v>77</v>
      </c>
      <c r="AV64">
        <v>81</v>
      </c>
      <c r="AW64">
        <v>67</v>
      </c>
      <c r="AX64">
        <v>76</v>
      </c>
      <c r="AY64">
        <v>68</v>
      </c>
      <c r="AZ64">
        <v>80</v>
      </c>
      <c r="BA64">
        <v>65</v>
      </c>
      <c r="BB64">
        <v>83</v>
      </c>
      <c r="BC64">
        <v>73</v>
      </c>
      <c r="BD64">
        <v>83</v>
      </c>
      <c r="BE64">
        <v>69</v>
      </c>
      <c r="BF64">
        <v>59</v>
      </c>
      <c r="BG64">
        <v>80</v>
      </c>
      <c r="BH64">
        <v>86</v>
      </c>
      <c r="BI64">
        <v>68</v>
      </c>
      <c r="BJ64">
        <v>69</v>
      </c>
      <c r="BK64">
        <v>72</v>
      </c>
      <c r="BL64">
        <v>74</v>
      </c>
      <c r="BM64">
        <v>57</v>
      </c>
      <c r="BN64">
        <v>78</v>
      </c>
      <c r="BO64">
        <v>74</v>
      </c>
      <c r="BP64">
        <v>83</v>
      </c>
      <c r="BQ64">
        <v>72</v>
      </c>
      <c r="BR64">
        <v>76</v>
      </c>
      <c r="BS64">
        <v>76</v>
      </c>
      <c r="BT64">
        <v>72</v>
      </c>
      <c r="BU64">
        <v>85</v>
      </c>
      <c r="BV64">
        <v>78</v>
      </c>
      <c r="BW64">
        <v>61</v>
      </c>
      <c r="BX64">
        <v>77</v>
      </c>
      <c r="BY64">
        <v>61</v>
      </c>
      <c r="BZ64">
        <v>72</v>
      </c>
      <c r="CA64">
        <v>61</v>
      </c>
      <c r="CB64">
        <v>11</v>
      </c>
      <c r="CC64">
        <v>13</v>
      </c>
      <c r="CD64">
        <v>13</v>
      </c>
      <c r="CE64">
        <v>13</v>
      </c>
      <c r="CF64">
        <v>14</v>
      </c>
      <c r="CH64" t="s">
        <v>62</v>
      </c>
      <c r="CI64" t="s">
        <v>62</v>
      </c>
      <c r="CJ64" t="s">
        <v>62</v>
      </c>
      <c r="CK64" t="s">
        <v>44</v>
      </c>
      <c r="CL64" t="s">
        <v>35</v>
      </c>
      <c r="CM64" t="s">
        <v>35</v>
      </c>
      <c r="CN64" t="s">
        <v>35</v>
      </c>
      <c r="CO64" t="s">
        <v>44</v>
      </c>
      <c r="CP64" t="s">
        <v>35</v>
      </c>
      <c r="CQ64" t="s">
        <v>35</v>
      </c>
      <c r="CR64" t="s">
        <v>35</v>
      </c>
      <c r="CS64" t="s">
        <v>67</v>
      </c>
      <c r="CT64" t="s">
        <v>35</v>
      </c>
      <c r="CU64" t="s">
        <v>35</v>
      </c>
      <c r="CV64" t="s">
        <v>35</v>
      </c>
      <c r="CW64" t="s">
        <v>67</v>
      </c>
      <c r="CX64" t="s">
        <v>29</v>
      </c>
      <c r="CY64" t="s">
        <v>25</v>
      </c>
      <c r="CZ64" t="s">
        <v>25</v>
      </c>
      <c r="DA64" t="s">
        <v>25</v>
      </c>
      <c r="DB64" t="s">
        <v>29</v>
      </c>
      <c r="DC64" t="s">
        <v>354</v>
      </c>
      <c r="DD64" t="s">
        <v>290</v>
      </c>
      <c r="DE64" t="s">
        <v>290</v>
      </c>
      <c r="DF64" t="s">
        <v>290</v>
      </c>
      <c r="DG64" t="s">
        <v>354</v>
      </c>
      <c r="DH64" t="s">
        <v>32</v>
      </c>
      <c r="DI6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13.131276000000002</v>
      </c>
      <c r="DJ64" t="s">
        <v>664</v>
      </c>
      <c r="DK64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2.8205781014062499</v>
      </c>
      <c r="DL64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13.247826720814025</v>
      </c>
    </row>
    <row r="65" spans="1:116" x14ac:dyDescent="0.2">
      <c r="A65">
        <v>208268</v>
      </c>
      <c r="B65" t="s">
        <v>665</v>
      </c>
      <c r="C65">
        <v>26</v>
      </c>
      <c r="D65">
        <v>4</v>
      </c>
      <c r="E65" s="1">
        <v>45919</v>
      </c>
      <c r="F65" t="s">
        <v>666</v>
      </c>
      <c r="G65">
        <v>0</v>
      </c>
      <c r="H65">
        <v>1</v>
      </c>
      <c r="I65" t="s">
        <v>667</v>
      </c>
      <c r="J65" t="s">
        <v>443</v>
      </c>
      <c r="K65">
        <v>80</v>
      </c>
      <c r="L65">
        <v>80</v>
      </c>
      <c r="M65">
        <v>20000000</v>
      </c>
      <c r="N65">
        <v>62000</v>
      </c>
      <c r="O65">
        <v>30</v>
      </c>
      <c r="P65" s="1">
        <v>34761</v>
      </c>
      <c r="Q65">
        <v>186</v>
      </c>
      <c r="R65">
        <v>80</v>
      </c>
      <c r="S65">
        <v>31</v>
      </c>
      <c r="T65" t="s">
        <v>250</v>
      </c>
      <c r="U65">
        <v>1</v>
      </c>
      <c r="V65">
        <v>52</v>
      </c>
      <c r="W65" t="s">
        <v>313</v>
      </c>
      <c r="X65" t="s">
        <v>101</v>
      </c>
      <c r="Y65">
        <v>4</v>
      </c>
      <c r="AA65" s="1">
        <v>43647</v>
      </c>
      <c r="AB65">
        <v>2027</v>
      </c>
      <c r="AC65">
        <v>27</v>
      </c>
      <c r="AD65" t="s">
        <v>267</v>
      </c>
      <c r="AH65" t="s">
        <v>2</v>
      </c>
      <c r="AI65">
        <v>4</v>
      </c>
      <c r="AJ65">
        <v>3</v>
      </c>
      <c r="AK65">
        <v>3</v>
      </c>
      <c r="AM65" t="s">
        <v>88</v>
      </c>
      <c r="AN65" t="s">
        <v>254</v>
      </c>
      <c r="AO65">
        <v>34000000</v>
      </c>
      <c r="AQ65">
        <v>0</v>
      </c>
      <c r="AR65" t="s">
        <v>668</v>
      </c>
      <c r="AS65">
        <v>52</v>
      </c>
      <c r="AT65">
        <v>74</v>
      </c>
      <c r="AU65">
        <v>78</v>
      </c>
      <c r="AV65">
        <v>75</v>
      </c>
      <c r="AW65">
        <v>78</v>
      </c>
      <c r="AX65">
        <v>81</v>
      </c>
      <c r="AY65">
        <v>70</v>
      </c>
      <c r="AZ65">
        <v>68</v>
      </c>
      <c r="BA65">
        <v>76</v>
      </c>
      <c r="BB65">
        <v>82</v>
      </c>
      <c r="BC65">
        <v>72</v>
      </c>
      <c r="BD65">
        <v>75</v>
      </c>
      <c r="BE65">
        <v>68</v>
      </c>
      <c r="BF65">
        <v>66</v>
      </c>
      <c r="BG65">
        <v>83</v>
      </c>
      <c r="BH65">
        <v>79</v>
      </c>
      <c r="BI65">
        <v>53</v>
      </c>
      <c r="BJ65">
        <v>52</v>
      </c>
      <c r="BK65">
        <v>62</v>
      </c>
      <c r="BL65">
        <v>79</v>
      </c>
      <c r="BM65">
        <v>58</v>
      </c>
      <c r="BN65">
        <v>83</v>
      </c>
      <c r="BO65">
        <v>78</v>
      </c>
      <c r="BP65">
        <v>89</v>
      </c>
      <c r="BQ65">
        <v>78</v>
      </c>
      <c r="BR65">
        <v>78</v>
      </c>
      <c r="BS65">
        <v>78</v>
      </c>
      <c r="BT65">
        <v>76</v>
      </c>
      <c r="BU65">
        <v>76</v>
      </c>
      <c r="BV65">
        <v>80</v>
      </c>
      <c r="BW65">
        <v>68</v>
      </c>
      <c r="BX65">
        <v>82</v>
      </c>
      <c r="BY65">
        <v>79</v>
      </c>
      <c r="BZ65">
        <v>80</v>
      </c>
      <c r="CA65">
        <v>74</v>
      </c>
      <c r="CB65">
        <v>3</v>
      </c>
      <c r="CC65">
        <v>5</v>
      </c>
      <c r="CD65">
        <v>3</v>
      </c>
      <c r="CE65">
        <v>3</v>
      </c>
      <c r="CF65">
        <v>5</v>
      </c>
      <c r="CH65" t="s">
        <v>23</v>
      </c>
      <c r="CI65" t="s">
        <v>23</v>
      </c>
      <c r="CJ65" t="s">
        <v>23</v>
      </c>
      <c r="CK65" t="s">
        <v>108</v>
      </c>
      <c r="CL65" t="s">
        <v>119</v>
      </c>
      <c r="CM65" t="s">
        <v>119</v>
      </c>
      <c r="CN65" t="s">
        <v>119</v>
      </c>
      <c r="CO65" t="s">
        <v>108</v>
      </c>
      <c r="CP65" t="s">
        <v>24</v>
      </c>
      <c r="CQ65" t="s">
        <v>24</v>
      </c>
      <c r="CR65" t="s">
        <v>24</v>
      </c>
      <c r="CS65" t="s">
        <v>23</v>
      </c>
      <c r="CT65" t="s">
        <v>35</v>
      </c>
      <c r="CU65" t="s">
        <v>35</v>
      </c>
      <c r="CV65" t="s">
        <v>35</v>
      </c>
      <c r="CW65" t="s">
        <v>23</v>
      </c>
      <c r="CX65" t="s">
        <v>24</v>
      </c>
      <c r="CY65" t="s">
        <v>35</v>
      </c>
      <c r="CZ65" t="s">
        <v>35</v>
      </c>
      <c r="DA65" t="s">
        <v>35</v>
      </c>
      <c r="DB65" t="s">
        <v>24</v>
      </c>
      <c r="DC65" t="s">
        <v>25</v>
      </c>
      <c r="DD65" t="s">
        <v>30</v>
      </c>
      <c r="DE65" t="s">
        <v>30</v>
      </c>
      <c r="DF65" t="s">
        <v>30</v>
      </c>
      <c r="DG65" t="s">
        <v>25</v>
      </c>
      <c r="DH65" t="s">
        <v>669</v>
      </c>
      <c r="DI6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12.3507471</v>
      </c>
      <c r="DJ65" t="s">
        <v>670</v>
      </c>
      <c r="DK65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2.8738805625000001</v>
      </c>
      <c r="DL65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12.479217179290186</v>
      </c>
    </row>
    <row r="66" spans="1:116" x14ac:dyDescent="0.2">
      <c r="A66">
        <v>239380</v>
      </c>
      <c r="B66" t="s">
        <v>671</v>
      </c>
      <c r="C66">
        <v>26</v>
      </c>
      <c r="D66">
        <v>4</v>
      </c>
      <c r="E66" s="1">
        <v>45919</v>
      </c>
      <c r="F66" t="s">
        <v>672</v>
      </c>
      <c r="G66">
        <v>0</v>
      </c>
      <c r="H66">
        <v>0</v>
      </c>
      <c r="I66" t="s">
        <v>673</v>
      </c>
      <c r="J66" t="s">
        <v>103</v>
      </c>
      <c r="K66">
        <v>80</v>
      </c>
      <c r="L66">
        <v>81</v>
      </c>
      <c r="M66">
        <v>25000000</v>
      </c>
      <c r="N66">
        <v>100000</v>
      </c>
      <c r="O66">
        <v>26</v>
      </c>
      <c r="P66" s="1">
        <v>36328</v>
      </c>
      <c r="Q66">
        <v>179</v>
      </c>
      <c r="R66">
        <v>69</v>
      </c>
      <c r="S66">
        <v>31</v>
      </c>
      <c r="T66" t="s">
        <v>250</v>
      </c>
      <c r="U66">
        <v>1</v>
      </c>
      <c r="V66">
        <v>48</v>
      </c>
      <c r="W66" t="s">
        <v>278</v>
      </c>
      <c r="X66" t="s">
        <v>110</v>
      </c>
      <c r="Y66">
        <v>70</v>
      </c>
      <c r="AA66" s="1">
        <v>45855</v>
      </c>
      <c r="AB66">
        <v>2030</v>
      </c>
      <c r="AC66">
        <v>34</v>
      </c>
      <c r="AD66" t="s">
        <v>359</v>
      </c>
      <c r="AE66">
        <v>105035</v>
      </c>
      <c r="AF66" t="s">
        <v>110</v>
      </c>
      <c r="AG66">
        <v>17</v>
      </c>
      <c r="AH66" t="s">
        <v>2</v>
      </c>
      <c r="AI66">
        <v>3</v>
      </c>
      <c r="AJ66">
        <v>5</v>
      </c>
      <c r="AK66">
        <v>1</v>
      </c>
      <c r="AM66" t="s">
        <v>19</v>
      </c>
      <c r="AN66" t="s">
        <v>254</v>
      </c>
      <c r="AO66">
        <v>44400000</v>
      </c>
      <c r="AP66" t="s">
        <v>5</v>
      </c>
      <c r="AQ66">
        <v>0</v>
      </c>
      <c r="AR66" t="s">
        <v>674</v>
      </c>
      <c r="AS66">
        <v>80</v>
      </c>
      <c r="AT66">
        <v>77</v>
      </c>
      <c r="AU66">
        <v>73</v>
      </c>
      <c r="AV66">
        <v>84</v>
      </c>
      <c r="AW66">
        <v>50</v>
      </c>
      <c r="AX66">
        <v>68</v>
      </c>
      <c r="AY66">
        <v>69</v>
      </c>
      <c r="AZ66">
        <v>80</v>
      </c>
      <c r="BA66">
        <v>49</v>
      </c>
      <c r="BB66">
        <v>77</v>
      </c>
      <c r="BC66">
        <v>80</v>
      </c>
      <c r="BD66">
        <v>84</v>
      </c>
      <c r="BE66">
        <v>75</v>
      </c>
      <c r="BF66">
        <v>57</v>
      </c>
      <c r="BG66">
        <v>68</v>
      </c>
      <c r="BH66">
        <v>84</v>
      </c>
      <c r="BI66">
        <v>84</v>
      </c>
      <c r="BJ66">
        <v>76</v>
      </c>
      <c r="BK66">
        <v>87</v>
      </c>
      <c r="BL66">
        <v>82</v>
      </c>
      <c r="BM66">
        <v>83</v>
      </c>
      <c r="BN66">
        <v>74</v>
      </c>
      <c r="BO66">
        <v>68</v>
      </c>
      <c r="BP66">
        <v>78</v>
      </c>
      <c r="BQ66">
        <v>60</v>
      </c>
      <c r="BR66">
        <v>76</v>
      </c>
      <c r="BS66">
        <v>74</v>
      </c>
      <c r="BT66">
        <v>57</v>
      </c>
      <c r="BU66">
        <v>75</v>
      </c>
      <c r="BV66">
        <v>77</v>
      </c>
      <c r="BW66">
        <v>73</v>
      </c>
      <c r="BX66">
        <v>83</v>
      </c>
      <c r="BY66">
        <v>47</v>
      </c>
      <c r="BZ66">
        <v>51</v>
      </c>
      <c r="CA66">
        <v>43</v>
      </c>
      <c r="CB66">
        <v>13</v>
      </c>
      <c r="CC66">
        <v>7</v>
      </c>
      <c r="CD66">
        <v>13</v>
      </c>
      <c r="CE66">
        <v>12</v>
      </c>
      <c r="CF66">
        <v>12</v>
      </c>
      <c r="CH66" t="s">
        <v>64</v>
      </c>
      <c r="CI66" t="s">
        <v>64</v>
      </c>
      <c r="CJ66" t="s">
        <v>64</v>
      </c>
      <c r="CK66" t="s">
        <v>35</v>
      </c>
      <c r="CL66" t="s">
        <v>44</v>
      </c>
      <c r="CM66" t="s">
        <v>44</v>
      </c>
      <c r="CN66" t="s">
        <v>44</v>
      </c>
      <c r="CO66" t="s">
        <v>35</v>
      </c>
      <c r="CP66" t="s">
        <v>26</v>
      </c>
      <c r="CQ66" t="s">
        <v>26</v>
      </c>
      <c r="CR66" t="s">
        <v>26</v>
      </c>
      <c r="CS66" t="s">
        <v>26</v>
      </c>
      <c r="CT66" t="s">
        <v>64</v>
      </c>
      <c r="CU66" t="s">
        <v>64</v>
      </c>
      <c r="CV66" t="s">
        <v>64</v>
      </c>
      <c r="CW66" t="s">
        <v>26</v>
      </c>
      <c r="CX66" t="s">
        <v>48</v>
      </c>
      <c r="CY66" t="s">
        <v>78</v>
      </c>
      <c r="CZ66" t="s">
        <v>78</v>
      </c>
      <c r="DA66" t="s">
        <v>78</v>
      </c>
      <c r="DB66" t="s">
        <v>48</v>
      </c>
      <c r="DC66" t="s">
        <v>57</v>
      </c>
      <c r="DD66" t="s">
        <v>111</v>
      </c>
      <c r="DE66" t="s">
        <v>111</v>
      </c>
      <c r="DF66" t="s">
        <v>111</v>
      </c>
      <c r="DG66" t="s">
        <v>57</v>
      </c>
      <c r="DH66" t="s">
        <v>84</v>
      </c>
      <c r="DI6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12.6307613</v>
      </c>
      <c r="DJ66" t="s">
        <v>675</v>
      </c>
      <c r="DK66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2.7355166701562501</v>
      </c>
      <c r="DL66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12.72997057621388</v>
      </c>
    </row>
    <row r="67" spans="1:116" x14ac:dyDescent="0.2">
      <c r="A67">
        <v>237712</v>
      </c>
      <c r="B67" t="s">
        <v>676</v>
      </c>
      <c r="C67">
        <v>26</v>
      </c>
      <c r="D67">
        <v>4</v>
      </c>
      <c r="E67" s="1">
        <v>45919</v>
      </c>
      <c r="F67" t="s">
        <v>677</v>
      </c>
      <c r="G67">
        <v>0</v>
      </c>
      <c r="H67">
        <v>0</v>
      </c>
      <c r="I67" t="s">
        <v>678</v>
      </c>
      <c r="J67" t="s">
        <v>34</v>
      </c>
      <c r="K67">
        <v>80</v>
      </c>
      <c r="L67">
        <v>81</v>
      </c>
      <c r="M67">
        <v>25000000</v>
      </c>
      <c r="N67">
        <v>43000</v>
      </c>
      <c r="O67">
        <v>26</v>
      </c>
      <c r="P67" s="1">
        <v>36071</v>
      </c>
      <c r="Q67">
        <v>178</v>
      </c>
      <c r="R67">
        <v>70</v>
      </c>
      <c r="S67">
        <v>31</v>
      </c>
      <c r="T67" t="s">
        <v>250</v>
      </c>
      <c r="U67">
        <v>1</v>
      </c>
      <c r="V67">
        <v>46</v>
      </c>
      <c r="W67" t="s">
        <v>365</v>
      </c>
      <c r="X67" t="s">
        <v>34</v>
      </c>
      <c r="Y67">
        <v>11</v>
      </c>
      <c r="AA67" s="1">
        <v>45128</v>
      </c>
      <c r="AB67">
        <v>2028</v>
      </c>
      <c r="AC67">
        <v>52</v>
      </c>
      <c r="AD67" t="s">
        <v>252</v>
      </c>
      <c r="AH67" t="s">
        <v>2</v>
      </c>
      <c r="AI67">
        <v>3</v>
      </c>
      <c r="AJ67">
        <v>3</v>
      </c>
      <c r="AK67">
        <v>3</v>
      </c>
      <c r="AM67" t="s">
        <v>3</v>
      </c>
      <c r="AN67" t="s">
        <v>254</v>
      </c>
      <c r="AO67">
        <v>44400000</v>
      </c>
      <c r="AQ67">
        <v>1</v>
      </c>
      <c r="AR67" t="s">
        <v>679</v>
      </c>
      <c r="AS67">
        <v>75</v>
      </c>
      <c r="AT67">
        <v>80</v>
      </c>
      <c r="AU67">
        <v>71</v>
      </c>
      <c r="AV67">
        <v>81</v>
      </c>
      <c r="AW67">
        <v>45</v>
      </c>
      <c r="AX67">
        <v>75</v>
      </c>
      <c r="AY67">
        <v>58</v>
      </c>
      <c r="AZ67">
        <v>84</v>
      </c>
      <c r="BA67">
        <v>83</v>
      </c>
      <c r="BB67">
        <v>79</v>
      </c>
      <c r="BC67">
        <v>76</v>
      </c>
      <c r="BD67">
        <v>82</v>
      </c>
      <c r="BE67">
        <v>65</v>
      </c>
      <c r="BF67">
        <v>65</v>
      </c>
      <c r="BG67">
        <v>66</v>
      </c>
      <c r="BH67">
        <v>83</v>
      </c>
      <c r="BI67">
        <v>78</v>
      </c>
      <c r="BJ67">
        <v>73</v>
      </c>
      <c r="BK67">
        <v>77</v>
      </c>
      <c r="BL67">
        <v>79</v>
      </c>
      <c r="BM67">
        <v>74</v>
      </c>
      <c r="BN67">
        <v>79</v>
      </c>
      <c r="BO67">
        <v>85</v>
      </c>
      <c r="BP67">
        <v>85</v>
      </c>
      <c r="BQ67">
        <v>65</v>
      </c>
      <c r="BR67">
        <v>74</v>
      </c>
      <c r="BS67">
        <v>84</v>
      </c>
      <c r="BT67">
        <v>39</v>
      </c>
      <c r="BU67">
        <v>83</v>
      </c>
      <c r="BV67">
        <v>79</v>
      </c>
      <c r="BW67">
        <v>73</v>
      </c>
      <c r="BX67">
        <v>81</v>
      </c>
      <c r="BY67">
        <v>43</v>
      </c>
      <c r="BZ67">
        <v>40</v>
      </c>
      <c r="CA67">
        <v>39</v>
      </c>
      <c r="CB67">
        <v>15</v>
      </c>
      <c r="CC67">
        <v>6</v>
      </c>
      <c r="CD67">
        <v>10</v>
      </c>
      <c r="CE67">
        <v>12</v>
      </c>
      <c r="CF67">
        <v>8</v>
      </c>
      <c r="CH67" t="s">
        <v>31</v>
      </c>
      <c r="CI67" t="s">
        <v>31</v>
      </c>
      <c r="CJ67" t="s">
        <v>31</v>
      </c>
      <c r="CK67" t="s">
        <v>66</v>
      </c>
      <c r="CL67" t="s">
        <v>36</v>
      </c>
      <c r="CM67" t="s">
        <v>36</v>
      </c>
      <c r="CN67" t="s">
        <v>36</v>
      </c>
      <c r="CO67" t="s">
        <v>66</v>
      </c>
      <c r="CP67" t="s">
        <v>31</v>
      </c>
      <c r="CQ67" t="s">
        <v>31</v>
      </c>
      <c r="CR67" t="s">
        <v>31</v>
      </c>
      <c r="CS67" t="s">
        <v>10</v>
      </c>
      <c r="CT67" t="s">
        <v>25</v>
      </c>
      <c r="CU67" t="s">
        <v>25</v>
      </c>
      <c r="CV67" t="s">
        <v>25</v>
      </c>
      <c r="CW67" t="s">
        <v>10</v>
      </c>
      <c r="CX67" t="s">
        <v>12</v>
      </c>
      <c r="CY67" t="s">
        <v>318</v>
      </c>
      <c r="CZ67" t="s">
        <v>318</v>
      </c>
      <c r="DA67" t="s">
        <v>318</v>
      </c>
      <c r="DB67" t="s">
        <v>12</v>
      </c>
      <c r="DC67" t="s">
        <v>39</v>
      </c>
      <c r="DD67" t="s">
        <v>384</v>
      </c>
      <c r="DE67" t="s">
        <v>384</v>
      </c>
      <c r="DF67" t="s">
        <v>384</v>
      </c>
      <c r="DG67" t="s">
        <v>39</v>
      </c>
      <c r="DH67" t="s">
        <v>293</v>
      </c>
      <c r="DI6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12.626925999999997</v>
      </c>
      <c r="DJ67" t="s">
        <v>680</v>
      </c>
      <c r="DK67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2.6527677828515626</v>
      </c>
      <c r="DL67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12.706678004967658</v>
      </c>
    </row>
    <row r="68" spans="1:116" x14ac:dyDescent="0.2">
      <c r="A68">
        <v>243593</v>
      </c>
      <c r="B68" t="s">
        <v>681</v>
      </c>
      <c r="C68">
        <v>26</v>
      </c>
      <c r="D68">
        <v>4</v>
      </c>
      <c r="E68" s="1">
        <v>45919</v>
      </c>
      <c r="F68" t="s">
        <v>682</v>
      </c>
      <c r="G68">
        <v>0</v>
      </c>
      <c r="H68">
        <v>0</v>
      </c>
      <c r="I68" t="s">
        <v>683</v>
      </c>
      <c r="J68" t="s">
        <v>103</v>
      </c>
      <c r="K68">
        <v>80</v>
      </c>
      <c r="L68">
        <v>80</v>
      </c>
      <c r="M68">
        <v>23000000</v>
      </c>
      <c r="N68">
        <v>30000</v>
      </c>
      <c r="O68">
        <v>26</v>
      </c>
      <c r="P68" s="1">
        <v>36133</v>
      </c>
      <c r="Q68">
        <v>171</v>
      </c>
      <c r="R68">
        <v>59</v>
      </c>
      <c r="S68">
        <v>31</v>
      </c>
      <c r="T68" t="s">
        <v>250</v>
      </c>
      <c r="U68">
        <v>1</v>
      </c>
      <c r="V68">
        <v>111974</v>
      </c>
      <c r="W68" t="s">
        <v>510</v>
      </c>
      <c r="X68" t="s">
        <v>17</v>
      </c>
      <c r="Y68">
        <v>45</v>
      </c>
      <c r="AA68" s="1">
        <v>44804</v>
      </c>
      <c r="AB68">
        <v>2027</v>
      </c>
      <c r="AC68">
        <v>18</v>
      </c>
      <c r="AD68" t="s">
        <v>296</v>
      </c>
      <c r="AH68" t="s">
        <v>2</v>
      </c>
      <c r="AI68">
        <v>3</v>
      </c>
      <c r="AJ68">
        <v>4</v>
      </c>
      <c r="AK68">
        <v>1</v>
      </c>
      <c r="AM68" t="s">
        <v>3</v>
      </c>
      <c r="AN68" t="s">
        <v>254</v>
      </c>
      <c r="AO68">
        <v>41400000</v>
      </c>
      <c r="AP68" t="s">
        <v>684</v>
      </c>
      <c r="AQ68">
        <v>1</v>
      </c>
      <c r="AR68" t="s">
        <v>685</v>
      </c>
      <c r="AS68">
        <v>91</v>
      </c>
      <c r="AT68">
        <v>77</v>
      </c>
      <c r="AU68">
        <v>74</v>
      </c>
      <c r="AV68">
        <v>83</v>
      </c>
      <c r="AW68">
        <v>36</v>
      </c>
      <c r="AX68">
        <v>57</v>
      </c>
      <c r="AY68">
        <v>74</v>
      </c>
      <c r="AZ68">
        <v>76</v>
      </c>
      <c r="BA68">
        <v>45</v>
      </c>
      <c r="BB68">
        <v>76</v>
      </c>
      <c r="BC68">
        <v>74</v>
      </c>
      <c r="BD68">
        <v>84</v>
      </c>
      <c r="BE68">
        <v>81</v>
      </c>
      <c r="BF68">
        <v>85</v>
      </c>
      <c r="BG68">
        <v>66</v>
      </c>
      <c r="BH68">
        <v>80</v>
      </c>
      <c r="BI68">
        <v>93</v>
      </c>
      <c r="BJ68">
        <v>89</v>
      </c>
      <c r="BK68">
        <v>91</v>
      </c>
      <c r="BL68">
        <v>76</v>
      </c>
      <c r="BM68">
        <v>92</v>
      </c>
      <c r="BN68">
        <v>81</v>
      </c>
      <c r="BO68">
        <v>64</v>
      </c>
      <c r="BP68">
        <v>82</v>
      </c>
      <c r="BQ68">
        <v>48</v>
      </c>
      <c r="BR68">
        <v>79</v>
      </c>
      <c r="BS68">
        <v>48</v>
      </c>
      <c r="BT68">
        <v>32</v>
      </c>
      <c r="BU68">
        <v>79</v>
      </c>
      <c r="BV68">
        <v>74</v>
      </c>
      <c r="BW68">
        <v>56</v>
      </c>
      <c r="BX68">
        <v>76</v>
      </c>
      <c r="BY68">
        <v>30</v>
      </c>
      <c r="BZ68">
        <v>40</v>
      </c>
      <c r="CA68">
        <v>38</v>
      </c>
      <c r="CB68">
        <v>13</v>
      </c>
      <c r="CC68">
        <v>13</v>
      </c>
      <c r="CD68">
        <v>8</v>
      </c>
      <c r="CE68">
        <v>14</v>
      </c>
      <c r="CF68">
        <v>15</v>
      </c>
      <c r="CH68" t="s">
        <v>64</v>
      </c>
      <c r="CI68" t="s">
        <v>64</v>
      </c>
      <c r="CJ68" t="s">
        <v>64</v>
      </c>
      <c r="CK68" t="s">
        <v>35</v>
      </c>
      <c r="CL68" t="s">
        <v>44</v>
      </c>
      <c r="CM68" t="s">
        <v>44</v>
      </c>
      <c r="CN68" t="s">
        <v>44</v>
      </c>
      <c r="CO68" t="s">
        <v>35</v>
      </c>
      <c r="CP68" t="s">
        <v>67</v>
      </c>
      <c r="CQ68" t="s">
        <v>67</v>
      </c>
      <c r="CR68" t="s">
        <v>67</v>
      </c>
      <c r="CS68" t="s">
        <v>67</v>
      </c>
      <c r="CT68" t="s">
        <v>61</v>
      </c>
      <c r="CU68" t="s">
        <v>61</v>
      </c>
      <c r="CV68" t="s">
        <v>61</v>
      </c>
      <c r="CW68" t="s">
        <v>67</v>
      </c>
      <c r="CX68" t="s">
        <v>105</v>
      </c>
      <c r="CY68" t="s">
        <v>68</v>
      </c>
      <c r="CZ68" t="s">
        <v>68</v>
      </c>
      <c r="DA68" t="s">
        <v>68</v>
      </c>
      <c r="DB68" t="s">
        <v>105</v>
      </c>
      <c r="DC68" t="s">
        <v>106</v>
      </c>
      <c r="DD68" t="s">
        <v>133</v>
      </c>
      <c r="DE68" t="s">
        <v>133</v>
      </c>
      <c r="DF68" t="s">
        <v>133</v>
      </c>
      <c r="DG68" t="s">
        <v>106</v>
      </c>
      <c r="DH68" t="s">
        <v>94</v>
      </c>
      <c r="DI6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12.557283799999999</v>
      </c>
      <c r="DJ68" t="s">
        <v>686</v>
      </c>
      <c r="DK68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2.7934481139062504</v>
      </c>
      <c r="DL68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12.590828592031363</v>
      </c>
    </row>
    <row r="69" spans="1:116" x14ac:dyDescent="0.2">
      <c r="A69">
        <v>255654</v>
      </c>
      <c r="B69" t="s">
        <v>687</v>
      </c>
      <c r="C69">
        <v>26</v>
      </c>
      <c r="D69">
        <v>4</v>
      </c>
      <c r="E69" s="1">
        <v>45919</v>
      </c>
      <c r="F69" t="s">
        <v>688</v>
      </c>
      <c r="G69">
        <v>1</v>
      </c>
      <c r="H69">
        <v>0</v>
      </c>
      <c r="I69" t="s">
        <v>689</v>
      </c>
      <c r="J69" t="s">
        <v>690</v>
      </c>
      <c r="K69">
        <v>80</v>
      </c>
      <c r="L69">
        <v>85</v>
      </c>
      <c r="M69">
        <v>28000000</v>
      </c>
      <c r="N69">
        <v>100000</v>
      </c>
      <c r="O69">
        <v>25</v>
      </c>
      <c r="P69" s="1">
        <v>36682</v>
      </c>
      <c r="Q69">
        <v>182</v>
      </c>
      <c r="R69">
        <v>80</v>
      </c>
      <c r="S69">
        <v>31</v>
      </c>
      <c r="T69" t="s">
        <v>250</v>
      </c>
      <c r="U69">
        <v>1</v>
      </c>
      <c r="V69">
        <v>45</v>
      </c>
      <c r="W69" t="s">
        <v>345</v>
      </c>
      <c r="X69" t="s">
        <v>110</v>
      </c>
      <c r="Y69">
        <v>15</v>
      </c>
      <c r="AA69" s="1">
        <v>45839</v>
      </c>
      <c r="AB69">
        <v>2029</v>
      </c>
      <c r="AC69">
        <v>18</v>
      </c>
      <c r="AD69" t="s">
        <v>296</v>
      </c>
      <c r="AH69" t="s">
        <v>2</v>
      </c>
      <c r="AI69">
        <v>3</v>
      </c>
      <c r="AJ69">
        <v>2</v>
      </c>
      <c r="AK69">
        <v>1</v>
      </c>
      <c r="AM69" t="s">
        <v>3</v>
      </c>
      <c r="AN69" t="s">
        <v>254</v>
      </c>
      <c r="AO69">
        <v>49700000</v>
      </c>
      <c r="AQ69">
        <v>0</v>
      </c>
      <c r="AR69" t="s">
        <v>691</v>
      </c>
      <c r="AS69">
        <v>80</v>
      </c>
      <c r="AT69">
        <v>53</v>
      </c>
      <c r="AU69">
        <v>68</v>
      </c>
      <c r="AV69">
        <v>70</v>
      </c>
      <c r="AW69">
        <v>81</v>
      </c>
      <c r="AX69">
        <v>76</v>
      </c>
      <c r="AY69">
        <v>70</v>
      </c>
      <c r="AZ69">
        <v>43</v>
      </c>
      <c r="BA69">
        <v>75</v>
      </c>
      <c r="BB69">
        <v>77</v>
      </c>
      <c r="BC69">
        <v>54</v>
      </c>
      <c r="BD69">
        <v>64</v>
      </c>
      <c r="BE69">
        <v>65</v>
      </c>
      <c r="BF69">
        <v>44</v>
      </c>
      <c r="BG69">
        <v>65</v>
      </c>
      <c r="BH69">
        <v>74</v>
      </c>
      <c r="BI69">
        <v>76</v>
      </c>
      <c r="BJ69">
        <v>83</v>
      </c>
      <c r="BK69">
        <v>73</v>
      </c>
      <c r="BL69">
        <v>80</v>
      </c>
      <c r="BM69">
        <v>69</v>
      </c>
      <c r="BN69">
        <v>66</v>
      </c>
      <c r="BO69">
        <v>83</v>
      </c>
      <c r="BP69">
        <v>76</v>
      </c>
      <c r="BQ69">
        <v>73</v>
      </c>
      <c r="BR69">
        <v>59</v>
      </c>
      <c r="BS69">
        <v>80</v>
      </c>
      <c r="BT69">
        <v>82</v>
      </c>
      <c r="BU69">
        <v>60</v>
      </c>
      <c r="BV69">
        <v>59</v>
      </c>
      <c r="BW69">
        <v>49</v>
      </c>
      <c r="BX69">
        <v>80</v>
      </c>
      <c r="BY69">
        <v>82</v>
      </c>
      <c r="BZ69">
        <v>83</v>
      </c>
      <c r="CA69">
        <v>79</v>
      </c>
      <c r="CB69">
        <v>12</v>
      </c>
      <c r="CC69">
        <v>5</v>
      </c>
      <c r="CD69">
        <v>13</v>
      </c>
      <c r="CE69">
        <v>9</v>
      </c>
      <c r="CF69">
        <v>11</v>
      </c>
      <c r="CH69" t="s">
        <v>52</v>
      </c>
      <c r="CI69" t="s">
        <v>52</v>
      </c>
      <c r="CJ69" t="s">
        <v>52</v>
      </c>
      <c r="CK69" t="s">
        <v>58</v>
      </c>
      <c r="CL69" t="s">
        <v>120</v>
      </c>
      <c r="CM69" t="s">
        <v>120</v>
      </c>
      <c r="CN69" t="s">
        <v>120</v>
      </c>
      <c r="CO69" t="s">
        <v>58</v>
      </c>
      <c r="CP69" t="s">
        <v>48</v>
      </c>
      <c r="CQ69" t="s">
        <v>48</v>
      </c>
      <c r="CR69" t="s">
        <v>48</v>
      </c>
      <c r="CS69" t="s">
        <v>85</v>
      </c>
      <c r="CT69" t="s">
        <v>59</v>
      </c>
      <c r="CU69" t="s">
        <v>59</v>
      </c>
      <c r="CV69" t="s">
        <v>59</v>
      </c>
      <c r="CW69" t="s">
        <v>85</v>
      </c>
      <c r="CX69" t="s">
        <v>62</v>
      </c>
      <c r="CY69" t="s">
        <v>81</v>
      </c>
      <c r="CZ69" t="s">
        <v>81</v>
      </c>
      <c r="DA69" t="s">
        <v>81</v>
      </c>
      <c r="DB69" t="s">
        <v>62</v>
      </c>
      <c r="DC69" t="s">
        <v>26</v>
      </c>
      <c r="DD69" t="s">
        <v>488</v>
      </c>
      <c r="DE69" t="s">
        <v>488</v>
      </c>
      <c r="DF69" t="s">
        <v>488</v>
      </c>
      <c r="DG69" t="s">
        <v>26</v>
      </c>
      <c r="DH69" t="s">
        <v>75</v>
      </c>
      <c r="DI6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13.188390799999997</v>
      </c>
      <c r="DJ69" t="s">
        <v>692</v>
      </c>
      <c r="DK69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2.3232012056250002</v>
      </c>
      <c r="DL69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13.280774275061702</v>
      </c>
    </row>
    <row r="70" spans="1:116" x14ac:dyDescent="0.2">
      <c r="A70">
        <v>246242</v>
      </c>
      <c r="B70" t="s">
        <v>693</v>
      </c>
      <c r="C70">
        <v>26</v>
      </c>
      <c r="D70">
        <v>4</v>
      </c>
      <c r="E70" s="1">
        <v>45919</v>
      </c>
      <c r="F70" t="s">
        <v>694</v>
      </c>
      <c r="G70">
        <v>0</v>
      </c>
      <c r="H70">
        <v>0</v>
      </c>
      <c r="I70" t="s">
        <v>695</v>
      </c>
      <c r="J70" t="s">
        <v>132</v>
      </c>
      <c r="K70">
        <v>80</v>
      </c>
      <c r="L70">
        <v>80</v>
      </c>
      <c r="M70">
        <v>21500000</v>
      </c>
      <c r="N70">
        <v>45000</v>
      </c>
      <c r="O70">
        <v>28</v>
      </c>
      <c r="P70" s="1">
        <v>35385</v>
      </c>
      <c r="Q70">
        <v>180</v>
      </c>
      <c r="R70">
        <v>75</v>
      </c>
      <c r="S70">
        <v>31</v>
      </c>
      <c r="T70" t="s">
        <v>250</v>
      </c>
      <c r="U70">
        <v>1</v>
      </c>
      <c r="V70">
        <v>46</v>
      </c>
      <c r="W70" t="s">
        <v>365</v>
      </c>
      <c r="X70" t="s">
        <v>110</v>
      </c>
      <c r="Y70">
        <v>19</v>
      </c>
      <c r="AA70" s="1">
        <v>45108</v>
      </c>
      <c r="AB70">
        <v>2027</v>
      </c>
      <c r="AC70">
        <v>136</v>
      </c>
      <c r="AD70" t="s">
        <v>696</v>
      </c>
      <c r="AH70" t="s">
        <v>2</v>
      </c>
      <c r="AI70">
        <v>4</v>
      </c>
      <c r="AJ70">
        <v>3</v>
      </c>
      <c r="AK70">
        <v>1</v>
      </c>
      <c r="AM70" t="s">
        <v>3</v>
      </c>
      <c r="AN70" t="s">
        <v>254</v>
      </c>
      <c r="AO70">
        <v>36600000</v>
      </c>
      <c r="AQ70">
        <v>0</v>
      </c>
      <c r="AR70" t="s">
        <v>576</v>
      </c>
      <c r="AS70">
        <v>84</v>
      </c>
      <c r="AT70">
        <v>81</v>
      </c>
      <c r="AU70">
        <v>67</v>
      </c>
      <c r="AV70">
        <v>78</v>
      </c>
      <c r="AW70">
        <v>43</v>
      </c>
      <c r="AX70">
        <v>73</v>
      </c>
      <c r="AY70">
        <v>55</v>
      </c>
      <c r="AZ70">
        <v>83</v>
      </c>
      <c r="BA70">
        <v>76</v>
      </c>
      <c r="BB70">
        <v>75</v>
      </c>
      <c r="BC70">
        <v>75</v>
      </c>
      <c r="BD70">
        <v>79</v>
      </c>
      <c r="BE70">
        <v>56</v>
      </c>
      <c r="BF70">
        <v>49</v>
      </c>
      <c r="BG70">
        <v>64</v>
      </c>
      <c r="BH70">
        <v>79</v>
      </c>
      <c r="BI70">
        <v>81</v>
      </c>
      <c r="BJ70">
        <v>87</v>
      </c>
      <c r="BK70">
        <v>76</v>
      </c>
      <c r="BL70">
        <v>78</v>
      </c>
      <c r="BM70">
        <v>70</v>
      </c>
      <c r="BN70">
        <v>84</v>
      </c>
      <c r="BO70">
        <v>87</v>
      </c>
      <c r="BP70">
        <v>74</v>
      </c>
      <c r="BQ70">
        <v>74</v>
      </c>
      <c r="BR70">
        <v>74</v>
      </c>
      <c r="BS70">
        <v>65</v>
      </c>
      <c r="BT70">
        <v>38</v>
      </c>
      <c r="BU70">
        <v>81</v>
      </c>
      <c r="BV70">
        <v>72</v>
      </c>
      <c r="BW70">
        <v>81</v>
      </c>
      <c r="BX70">
        <v>78</v>
      </c>
      <c r="BY70">
        <v>39</v>
      </c>
      <c r="BZ70">
        <v>42</v>
      </c>
      <c r="CA70">
        <v>36</v>
      </c>
      <c r="CB70">
        <v>11</v>
      </c>
      <c r="CC70">
        <v>10</v>
      </c>
      <c r="CD70">
        <v>15</v>
      </c>
      <c r="CE70">
        <v>14</v>
      </c>
      <c r="CF70">
        <v>10</v>
      </c>
      <c r="CH70" t="s">
        <v>35</v>
      </c>
      <c r="CI70" t="s">
        <v>35</v>
      </c>
      <c r="CJ70" t="s">
        <v>35</v>
      </c>
      <c r="CK70" t="s">
        <v>43</v>
      </c>
      <c r="CL70" t="s">
        <v>44</v>
      </c>
      <c r="CM70" t="s">
        <v>44</v>
      </c>
      <c r="CN70" t="s">
        <v>44</v>
      </c>
      <c r="CO70" t="s">
        <v>43</v>
      </c>
      <c r="CP70" t="s">
        <v>81</v>
      </c>
      <c r="CQ70" t="s">
        <v>81</v>
      </c>
      <c r="CR70" t="s">
        <v>81</v>
      </c>
      <c r="CS70" t="s">
        <v>63</v>
      </c>
      <c r="CT70" t="s">
        <v>53</v>
      </c>
      <c r="CU70" t="s">
        <v>53</v>
      </c>
      <c r="CV70" t="s">
        <v>53</v>
      </c>
      <c r="CW70" t="s">
        <v>63</v>
      </c>
      <c r="CX70" t="s">
        <v>99</v>
      </c>
      <c r="CY70" t="s">
        <v>106</v>
      </c>
      <c r="CZ70" t="s">
        <v>106</v>
      </c>
      <c r="DA70" t="s">
        <v>106</v>
      </c>
      <c r="DB70" t="s">
        <v>99</v>
      </c>
      <c r="DC70" t="s">
        <v>111</v>
      </c>
      <c r="DD70" t="s">
        <v>93</v>
      </c>
      <c r="DE70" t="s">
        <v>93</v>
      </c>
      <c r="DF70" t="s">
        <v>93</v>
      </c>
      <c r="DG70" t="s">
        <v>111</v>
      </c>
      <c r="DH70" t="s">
        <v>84</v>
      </c>
      <c r="DI7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13.244694399999997</v>
      </c>
      <c r="DJ70" t="s">
        <v>697</v>
      </c>
      <c r="DK70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2.3905043600000004</v>
      </c>
      <c r="DL70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13.337582602635319</v>
      </c>
    </row>
    <row r="71" spans="1:116" x14ac:dyDescent="0.2">
      <c r="A71">
        <v>229668</v>
      </c>
      <c r="B71" t="s">
        <v>698</v>
      </c>
      <c r="C71">
        <v>26</v>
      </c>
      <c r="D71">
        <v>4</v>
      </c>
      <c r="E71" s="1">
        <v>45919</v>
      </c>
      <c r="F71" t="s">
        <v>699</v>
      </c>
      <c r="G71">
        <v>1</v>
      </c>
      <c r="H71">
        <v>0</v>
      </c>
      <c r="I71" t="s">
        <v>700</v>
      </c>
      <c r="J71" t="s">
        <v>71</v>
      </c>
      <c r="K71">
        <v>80</v>
      </c>
      <c r="L71">
        <v>80</v>
      </c>
      <c r="M71">
        <v>17500000</v>
      </c>
      <c r="N71">
        <v>60000</v>
      </c>
      <c r="O71">
        <v>30</v>
      </c>
      <c r="P71" s="1">
        <v>34868</v>
      </c>
      <c r="Q71">
        <v>184</v>
      </c>
      <c r="R71">
        <v>76</v>
      </c>
      <c r="S71">
        <v>31</v>
      </c>
      <c r="T71" t="s">
        <v>250</v>
      </c>
      <c r="U71">
        <v>1</v>
      </c>
      <c r="V71">
        <v>52</v>
      </c>
      <c r="W71" t="s">
        <v>313</v>
      </c>
      <c r="X71" t="s">
        <v>47</v>
      </c>
      <c r="Y71">
        <v>22</v>
      </c>
      <c r="AA71" s="1">
        <v>45538</v>
      </c>
      <c r="AB71">
        <v>2028</v>
      </c>
      <c r="AC71">
        <v>45</v>
      </c>
      <c r="AD71" t="s">
        <v>349</v>
      </c>
      <c r="AH71" t="s">
        <v>18</v>
      </c>
      <c r="AI71">
        <v>3</v>
      </c>
      <c r="AJ71">
        <v>2</v>
      </c>
      <c r="AK71">
        <v>3</v>
      </c>
      <c r="AM71" t="s">
        <v>3</v>
      </c>
      <c r="AN71" t="s">
        <v>254</v>
      </c>
      <c r="AO71">
        <v>29800000</v>
      </c>
      <c r="AQ71">
        <v>0</v>
      </c>
      <c r="AR71" t="s">
        <v>471</v>
      </c>
      <c r="AS71">
        <v>72</v>
      </c>
      <c r="AT71">
        <v>49</v>
      </c>
      <c r="AU71">
        <v>73</v>
      </c>
      <c r="AV71">
        <v>71</v>
      </c>
      <c r="AW71">
        <v>80</v>
      </c>
      <c r="AX71">
        <v>79</v>
      </c>
      <c r="AY71">
        <v>71</v>
      </c>
      <c r="AZ71">
        <v>42</v>
      </c>
      <c r="BA71">
        <v>83</v>
      </c>
      <c r="BB71">
        <v>79</v>
      </c>
      <c r="BC71">
        <v>41</v>
      </c>
      <c r="BD71">
        <v>67</v>
      </c>
      <c r="BE71">
        <v>68</v>
      </c>
      <c r="BF71">
        <v>55</v>
      </c>
      <c r="BG71">
        <v>76</v>
      </c>
      <c r="BH71">
        <v>76</v>
      </c>
      <c r="BI71">
        <v>71</v>
      </c>
      <c r="BJ71">
        <v>73</v>
      </c>
      <c r="BK71">
        <v>70</v>
      </c>
      <c r="BL71">
        <v>77</v>
      </c>
      <c r="BM71">
        <v>61</v>
      </c>
      <c r="BN71">
        <v>66</v>
      </c>
      <c r="BO71">
        <v>88</v>
      </c>
      <c r="BP71">
        <v>72</v>
      </c>
      <c r="BQ71">
        <v>80</v>
      </c>
      <c r="BR71">
        <v>47</v>
      </c>
      <c r="BS71">
        <v>83</v>
      </c>
      <c r="BT71">
        <v>79</v>
      </c>
      <c r="BU71">
        <v>63</v>
      </c>
      <c r="BV71">
        <v>66</v>
      </c>
      <c r="BW71">
        <v>45</v>
      </c>
      <c r="BX71">
        <v>77</v>
      </c>
      <c r="BY71">
        <v>78</v>
      </c>
      <c r="BZ71">
        <v>81</v>
      </c>
      <c r="CA71">
        <v>80</v>
      </c>
      <c r="CB71">
        <v>13</v>
      </c>
      <c r="CC71">
        <v>8</v>
      </c>
      <c r="CD71">
        <v>10</v>
      </c>
      <c r="CE71">
        <v>5</v>
      </c>
      <c r="CF71">
        <v>8</v>
      </c>
      <c r="CH71" t="s">
        <v>11</v>
      </c>
      <c r="CI71" t="s">
        <v>11</v>
      </c>
      <c r="CJ71" t="s">
        <v>11</v>
      </c>
      <c r="CK71" t="s">
        <v>120</v>
      </c>
      <c r="CL71" t="s">
        <v>120</v>
      </c>
      <c r="CM71" t="s">
        <v>120</v>
      </c>
      <c r="CN71" t="s">
        <v>120</v>
      </c>
      <c r="CO71" t="s">
        <v>120</v>
      </c>
      <c r="CP71" t="s">
        <v>283</v>
      </c>
      <c r="CQ71" t="s">
        <v>283</v>
      </c>
      <c r="CR71" t="s">
        <v>283</v>
      </c>
      <c r="CS71" t="s">
        <v>290</v>
      </c>
      <c r="CT71" t="s">
        <v>282</v>
      </c>
      <c r="CU71" t="s">
        <v>282</v>
      </c>
      <c r="CV71" t="s">
        <v>282</v>
      </c>
      <c r="CW71" t="s">
        <v>290</v>
      </c>
      <c r="CX71" t="s">
        <v>24</v>
      </c>
      <c r="CY71" t="s">
        <v>62</v>
      </c>
      <c r="CZ71" t="s">
        <v>62</v>
      </c>
      <c r="DA71" t="s">
        <v>62</v>
      </c>
      <c r="DB71" t="s">
        <v>24</v>
      </c>
      <c r="DC71" t="s">
        <v>30</v>
      </c>
      <c r="DD71" t="s">
        <v>35</v>
      </c>
      <c r="DE71" t="s">
        <v>35</v>
      </c>
      <c r="DF71" t="s">
        <v>35</v>
      </c>
      <c r="DG71" t="s">
        <v>30</v>
      </c>
      <c r="DH71" t="s">
        <v>40</v>
      </c>
      <c r="DI7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13.262335799999999</v>
      </c>
      <c r="DJ71" t="s">
        <v>701</v>
      </c>
      <c r="DK71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2.5761690006250002</v>
      </c>
      <c r="DL71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13.384459921829366</v>
      </c>
    </row>
    <row r="72" spans="1:116" x14ac:dyDescent="0.2">
      <c r="A72">
        <v>266872</v>
      </c>
      <c r="B72" t="s">
        <v>702</v>
      </c>
      <c r="C72">
        <v>26</v>
      </c>
      <c r="D72">
        <v>4</v>
      </c>
      <c r="E72" s="1">
        <v>45919</v>
      </c>
      <c r="F72" t="s">
        <v>703</v>
      </c>
      <c r="G72">
        <v>1</v>
      </c>
      <c r="H72">
        <v>0</v>
      </c>
      <c r="I72" t="s">
        <v>704</v>
      </c>
      <c r="J72" t="s">
        <v>71</v>
      </c>
      <c r="K72">
        <v>80</v>
      </c>
      <c r="L72">
        <v>83</v>
      </c>
      <c r="M72">
        <v>24000000</v>
      </c>
      <c r="N72">
        <v>105000</v>
      </c>
      <c r="O72">
        <v>27</v>
      </c>
      <c r="P72" s="1">
        <v>35970</v>
      </c>
      <c r="Q72">
        <v>190</v>
      </c>
      <c r="R72">
        <v>80</v>
      </c>
      <c r="S72">
        <v>31</v>
      </c>
      <c r="T72" t="s">
        <v>250</v>
      </c>
      <c r="U72">
        <v>1</v>
      </c>
      <c r="V72">
        <v>45</v>
      </c>
      <c r="W72" t="s">
        <v>345</v>
      </c>
      <c r="X72" t="s">
        <v>47</v>
      </c>
      <c r="Y72">
        <v>4</v>
      </c>
      <c r="AA72" s="1">
        <v>44592</v>
      </c>
      <c r="AB72">
        <v>2030</v>
      </c>
      <c r="AC72">
        <v>27</v>
      </c>
      <c r="AD72" t="s">
        <v>267</v>
      </c>
      <c r="AE72">
        <v>1343</v>
      </c>
      <c r="AF72" t="s">
        <v>110</v>
      </c>
      <c r="AG72">
        <v>4</v>
      </c>
      <c r="AH72" t="s">
        <v>2</v>
      </c>
      <c r="AI72">
        <v>3</v>
      </c>
      <c r="AJ72">
        <v>2</v>
      </c>
      <c r="AK72">
        <v>3</v>
      </c>
      <c r="AM72" t="s">
        <v>88</v>
      </c>
      <c r="AN72" t="s">
        <v>254</v>
      </c>
      <c r="AO72">
        <v>42600000</v>
      </c>
      <c r="AQ72">
        <v>0</v>
      </c>
      <c r="AR72" t="s">
        <v>705</v>
      </c>
      <c r="AS72">
        <v>76</v>
      </c>
      <c r="AT72">
        <v>42</v>
      </c>
      <c r="AU72">
        <v>53</v>
      </c>
      <c r="AV72">
        <v>65</v>
      </c>
      <c r="AW72">
        <v>81</v>
      </c>
      <c r="AX72">
        <v>80</v>
      </c>
      <c r="AY72">
        <v>38</v>
      </c>
      <c r="AZ72">
        <v>30</v>
      </c>
      <c r="BA72">
        <v>80</v>
      </c>
      <c r="BB72">
        <v>68</v>
      </c>
      <c r="BC72">
        <v>42</v>
      </c>
      <c r="BD72">
        <v>62</v>
      </c>
      <c r="BE72">
        <v>38</v>
      </c>
      <c r="BF72">
        <v>46</v>
      </c>
      <c r="BG72">
        <v>61</v>
      </c>
      <c r="BH72">
        <v>68</v>
      </c>
      <c r="BI72">
        <v>73</v>
      </c>
      <c r="BJ72">
        <v>78</v>
      </c>
      <c r="BK72">
        <v>56</v>
      </c>
      <c r="BL72">
        <v>79</v>
      </c>
      <c r="BM72">
        <v>59</v>
      </c>
      <c r="BN72">
        <v>68</v>
      </c>
      <c r="BO72">
        <v>88</v>
      </c>
      <c r="BP72">
        <v>74</v>
      </c>
      <c r="BQ72">
        <v>81</v>
      </c>
      <c r="BR72">
        <v>39</v>
      </c>
      <c r="BS72">
        <v>84</v>
      </c>
      <c r="BT72">
        <v>80</v>
      </c>
      <c r="BU72">
        <v>45</v>
      </c>
      <c r="BV72">
        <v>40</v>
      </c>
      <c r="BW72">
        <v>49</v>
      </c>
      <c r="BX72">
        <v>78</v>
      </c>
      <c r="BY72">
        <v>82</v>
      </c>
      <c r="BZ72">
        <v>83</v>
      </c>
      <c r="CA72">
        <v>78</v>
      </c>
      <c r="CB72">
        <v>6</v>
      </c>
      <c r="CC72">
        <v>11</v>
      </c>
      <c r="CD72">
        <v>11</v>
      </c>
      <c r="CE72">
        <v>11</v>
      </c>
      <c r="CF72">
        <v>6</v>
      </c>
      <c r="CH72" t="s">
        <v>39</v>
      </c>
      <c r="CI72" t="s">
        <v>39</v>
      </c>
      <c r="CJ72" t="s">
        <v>39</v>
      </c>
      <c r="CK72" t="s">
        <v>134</v>
      </c>
      <c r="CL72" t="s">
        <v>125</v>
      </c>
      <c r="CM72" t="s">
        <v>125</v>
      </c>
      <c r="CN72" t="s">
        <v>125</v>
      </c>
      <c r="CO72" t="s">
        <v>134</v>
      </c>
      <c r="CP72" t="s">
        <v>384</v>
      </c>
      <c r="CQ72" t="s">
        <v>384</v>
      </c>
      <c r="CR72" t="s">
        <v>384</v>
      </c>
      <c r="CS72" t="s">
        <v>39</v>
      </c>
      <c r="CT72" t="s">
        <v>12</v>
      </c>
      <c r="CU72" t="s">
        <v>12</v>
      </c>
      <c r="CV72" t="s">
        <v>12</v>
      </c>
      <c r="CW72" t="s">
        <v>39</v>
      </c>
      <c r="CX72" t="s">
        <v>354</v>
      </c>
      <c r="CY72" t="s">
        <v>23</v>
      </c>
      <c r="CZ72" t="s">
        <v>23</v>
      </c>
      <c r="DA72" t="s">
        <v>23</v>
      </c>
      <c r="DB72" t="s">
        <v>354</v>
      </c>
      <c r="DC72" t="s">
        <v>23</v>
      </c>
      <c r="DD72" t="s">
        <v>269</v>
      </c>
      <c r="DE72" t="s">
        <v>269</v>
      </c>
      <c r="DF72" t="s">
        <v>269</v>
      </c>
      <c r="DG72" t="s">
        <v>23</v>
      </c>
      <c r="DH72" t="s">
        <v>40</v>
      </c>
      <c r="DI7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13.0297722</v>
      </c>
      <c r="DJ72" t="s">
        <v>706</v>
      </c>
      <c r="DK72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1.4927500624999999</v>
      </c>
      <c r="DL72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13.087740666886686</v>
      </c>
    </row>
    <row r="73" spans="1:116" x14ac:dyDescent="0.2">
      <c r="A73">
        <v>246875</v>
      </c>
      <c r="B73" t="s">
        <v>707</v>
      </c>
      <c r="C73">
        <v>26</v>
      </c>
      <c r="D73">
        <v>4</v>
      </c>
      <c r="E73" s="1">
        <v>45919</v>
      </c>
      <c r="F73" t="s">
        <v>708</v>
      </c>
      <c r="G73">
        <v>1</v>
      </c>
      <c r="H73">
        <v>0</v>
      </c>
      <c r="I73" t="s">
        <v>709</v>
      </c>
      <c r="J73" t="s">
        <v>71</v>
      </c>
      <c r="K73">
        <v>80</v>
      </c>
      <c r="L73">
        <v>85</v>
      </c>
      <c r="M73">
        <v>29000000</v>
      </c>
      <c r="N73">
        <v>57000</v>
      </c>
      <c r="O73">
        <v>24</v>
      </c>
      <c r="P73" s="1">
        <v>36895</v>
      </c>
      <c r="Q73">
        <v>191</v>
      </c>
      <c r="R73">
        <v>82</v>
      </c>
      <c r="S73">
        <v>31</v>
      </c>
      <c r="T73" t="s">
        <v>250</v>
      </c>
      <c r="U73">
        <v>1</v>
      </c>
      <c r="V73">
        <v>39</v>
      </c>
      <c r="W73" t="s">
        <v>396</v>
      </c>
      <c r="X73" t="s">
        <v>110</v>
      </c>
      <c r="Y73">
        <v>3</v>
      </c>
      <c r="AA73" s="1">
        <v>45839</v>
      </c>
      <c r="AB73">
        <v>2029</v>
      </c>
      <c r="AC73">
        <v>108</v>
      </c>
      <c r="AD73" t="s">
        <v>624</v>
      </c>
      <c r="AH73" t="s">
        <v>2</v>
      </c>
      <c r="AI73">
        <v>3</v>
      </c>
      <c r="AJ73">
        <v>2</v>
      </c>
      <c r="AK73">
        <v>3</v>
      </c>
      <c r="AM73" t="s">
        <v>127</v>
      </c>
      <c r="AN73" t="s">
        <v>254</v>
      </c>
      <c r="AO73">
        <v>51500000</v>
      </c>
      <c r="AQ73">
        <v>0</v>
      </c>
      <c r="AS73">
        <v>80</v>
      </c>
      <c r="AT73">
        <v>32</v>
      </c>
      <c r="AU73">
        <v>64</v>
      </c>
      <c r="AV73">
        <v>67</v>
      </c>
      <c r="AW73">
        <v>81</v>
      </c>
      <c r="AX73">
        <v>78</v>
      </c>
      <c r="AY73">
        <v>58</v>
      </c>
      <c r="AZ73">
        <v>26</v>
      </c>
      <c r="BA73">
        <v>79</v>
      </c>
      <c r="BB73">
        <v>76</v>
      </c>
      <c r="BC73">
        <v>28</v>
      </c>
      <c r="BD73">
        <v>66</v>
      </c>
      <c r="BE73">
        <v>33</v>
      </c>
      <c r="BF73">
        <v>23</v>
      </c>
      <c r="BG73">
        <v>74</v>
      </c>
      <c r="BH73">
        <v>69</v>
      </c>
      <c r="BI73">
        <v>74</v>
      </c>
      <c r="BJ73">
        <v>84</v>
      </c>
      <c r="BK73">
        <v>62</v>
      </c>
      <c r="BL73">
        <v>76</v>
      </c>
      <c r="BM73">
        <v>56</v>
      </c>
      <c r="BN73">
        <v>52</v>
      </c>
      <c r="BO73">
        <v>80</v>
      </c>
      <c r="BP73">
        <v>76</v>
      </c>
      <c r="BQ73">
        <v>79</v>
      </c>
      <c r="BR73">
        <v>24</v>
      </c>
      <c r="BS73">
        <v>78</v>
      </c>
      <c r="BT73">
        <v>81</v>
      </c>
      <c r="BU73">
        <v>44</v>
      </c>
      <c r="BV73">
        <v>57</v>
      </c>
      <c r="BW73">
        <v>32</v>
      </c>
      <c r="BX73">
        <v>73</v>
      </c>
      <c r="BY73">
        <v>80</v>
      </c>
      <c r="BZ73">
        <v>83</v>
      </c>
      <c r="CA73">
        <v>80</v>
      </c>
      <c r="CB73">
        <v>5</v>
      </c>
      <c r="CC73">
        <v>8</v>
      </c>
      <c r="CD73">
        <v>6</v>
      </c>
      <c r="CE73">
        <v>10</v>
      </c>
      <c r="CF73">
        <v>6</v>
      </c>
      <c r="CH73" t="s">
        <v>402</v>
      </c>
      <c r="CI73" t="s">
        <v>402</v>
      </c>
      <c r="CJ73" t="s">
        <v>402</v>
      </c>
      <c r="CK73" t="s">
        <v>49</v>
      </c>
      <c r="CL73" t="s">
        <v>125</v>
      </c>
      <c r="CM73" t="s">
        <v>125</v>
      </c>
      <c r="CN73" t="s">
        <v>125</v>
      </c>
      <c r="CO73" t="s">
        <v>49</v>
      </c>
      <c r="CP73" t="s">
        <v>12</v>
      </c>
      <c r="CQ73" t="s">
        <v>12</v>
      </c>
      <c r="CR73" t="s">
        <v>12</v>
      </c>
      <c r="CS73" t="s">
        <v>38</v>
      </c>
      <c r="CT73" t="s">
        <v>20</v>
      </c>
      <c r="CU73" t="s">
        <v>20</v>
      </c>
      <c r="CV73" t="s">
        <v>20</v>
      </c>
      <c r="CW73" t="s">
        <v>38</v>
      </c>
      <c r="CX73" t="s">
        <v>25</v>
      </c>
      <c r="CY73" t="s">
        <v>30</v>
      </c>
      <c r="CZ73" t="s">
        <v>30</v>
      </c>
      <c r="DA73" t="s">
        <v>30</v>
      </c>
      <c r="DB73" t="s">
        <v>25</v>
      </c>
      <c r="DC73" t="s">
        <v>30</v>
      </c>
      <c r="DD73" t="s">
        <v>269</v>
      </c>
      <c r="DE73" t="s">
        <v>269</v>
      </c>
      <c r="DF73" t="s">
        <v>269</v>
      </c>
      <c r="DG73" t="s">
        <v>30</v>
      </c>
      <c r="DH73" t="s">
        <v>710</v>
      </c>
      <c r="DI7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13.363663899999999</v>
      </c>
      <c r="DJ73" t="s">
        <v>711</v>
      </c>
      <c r="DK73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1.9833171847265627</v>
      </c>
      <c r="DL73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13.340195701184557</v>
      </c>
    </row>
    <row r="74" spans="1:116" x14ac:dyDescent="0.2">
      <c r="A74">
        <v>220651</v>
      </c>
      <c r="B74" t="s">
        <v>712</v>
      </c>
      <c r="C74">
        <v>26</v>
      </c>
      <c r="D74">
        <v>4</v>
      </c>
      <c r="E74" s="1">
        <v>45919</v>
      </c>
      <c r="F74" t="s">
        <v>713</v>
      </c>
      <c r="G74">
        <v>1</v>
      </c>
      <c r="H74">
        <v>0</v>
      </c>
      <c r="I74" t="s">
        <v>714</v>
      </c>
      <c r="J74" t="s">
        <v>82</v>
      </c>
      <c r="K74">
        <v>79</v>
      </c>
      <c r="L74">
        <v>79</v>
      </c>
      <c r="M74">
        <v>16000000</v>
      </c>
      <c r="N74">
        <v>56000</v>
      </c>
      <c r="O74">
        <v>28</v>
      </c>
      <c r="P74" s="1">
        <v>35434</v>
      </c>
      <c r="Q74">
        <v>171</v>
      </c>
      <c r="R74">
        <v>69</v>
      </c>
      <c r="S74">
        <v>31</v>
      </c>
      <c r="T74" t="s">
        <v>250</v>
      </c>
      <c r="U74">
        <v>1</v>
      </c>
      <c r="V74">
        <v>52</v>
      </c>
      <c r="W74" t="s">
        <v>313</v>
      </c>
      <c r="X74" t="s">
        <v>104</v>
      </c>
      <c r="Y74">
        <v>3</v>
      </c>
      <c r="AA74" s="1">
        <v>45474</v>
      </c>
      <c r="AB74">
        <v>2028</v>
      </c>
      <c r="AC74">
        <v>45</v>
      </c>
      <c r="AD74" t="s">
        <v>349</v>
      </c>
      <c r="AH74" t="s">
        <v>18</v>
      </c>
      <c r="AI74">
        <v>3</v>
      </c>
      <c r="AJ74">
        <v>4</v>
      </c>
      <c r="AK74">
        <v>3</v>
      </c>
      <c r="AM74" t="s">
        <v>3</v>
      </c>
      <c r="AN74" t="s">
        <v>254</v>
      </c>
      <c r="AO74">
        <v>27200000</v>
      </c>
      <c r="AP74" t="s">
        <v>325</v>
      </c>
      <c r="AQ74">
        <v>0</v>
      </c>
      <c r="AR74" t="s">
        <v>715</v>
      </c>
      <c r="AS74">
        <v>69</v>
      </c>
      <c r="AT74">
        <v>70</v>
      </c>
      <c r="AU74">
        <v>81</v>
      </c>
      <c r="AV74">
        <v>80</v>
      </c>
      <c r="AW74">
        <v>74</v>
      </c>
      <c r="AX74">
        <v>69</v>
      </c>
      <c r="AY74">
        <v>86</v>
      </c>
      <c r="AZ74">
        <v>68</v>
      </c>
      <c r="BA74">
        <v>63</v>
      </c>
      <c r="BB74">
        <v>82</v>
      </c>
      <c r="BC74">
        <v>63</v>
      </c>
      <c r="BD74">
        <v>78</v>
      </c>
      <c r="BE74">
        <v>83</v>
      </c>
      <c r="BF74">
        <v>76</v>
      </c>
      <c r="BG74">
        <v>80</v>
      </c>
      <c r="BH74">
        <v>83</v>
      </c>
      <c r="BI74">
        <v>77</v>
      </c>
      <c r="BJ74">
        <v>62</v>
      </c>
      <c r="BK74">
        <v>84</v>
      </c>
      <c r="BL74">
        <v>77</v>
      </c>
      <c r="BM74">
        <v>83</v>
      </c>
      <c r="BN74">
        <v>82</v>
      </c>
      <c r="BO74">
        <v>71</v>
      </c>
      <c r="BP74">
        <v>87</v>
      </c>
      <c r="BQ74">
        <v>56</v>
      </c>
      <c r="BR74">
        <v>67</v>
      </c>
      <c r="BS74">
        <v>76</v>
      </c>
      <c r="BT74">
        <v>75</v>
      </c>
      <c r="BU74">
        <v>78</v>
      </c>
      <c r="BV74">
        <v>78</v>
      </c>
      <c r="BW74">
        <v>55</v>
      </c>
      <c r="BX74">
        <v>80</v>
      </c>
      <c r="BY74">
        <v>76</v>
      </c>
      <c r="BZ74">
        <v>75</v>
      </c>
      <c r="CA74">
        <v>74</v>
      </c>
      <c r="CB74">
        <v>13</v>
      </c>
      <c r="CC74">
        <v>6</v>
      </c>
      <c r="CD74">
        <v>13</v>
      </c>
      <c r="CE74">
        <v>13</v>
      </c>
      <c r="CF74">
        <v>13</v>
      </c>
      <c r="CH74" t="s">
        <v>29</v>
      </c>
      <c r="CI74" t="s">
        <v>29</v>
      </c>
      <c r="CJ74" t="s">
        <v>29</v>
      </c>
      <c r="CK74" t="s">
        <v>43</v>
      </c>
      <c r="CL74" t="s">
        <v>43</v>
      </c>
      <c r="CM74" t="s">
        <v>43</v>
      </c>
      <c r="CN74" t="s">
        <v>43</v>
      </c>
      <c r="CO74" t="s">
        <v>43</v>
      </c>
      <c r="CP74" t="s">
        <v>80</v>
      </c>
      <c r="CQ74" t="s">
        <v>80</v>
      </c>
      <c r="CR74" t="s">
        <v>80</v>
      </c>
      <c r="CS74" t="s">
        <v>44</v>
      </c>
      <c r="CT74" t="s">
        <v>44</v>
      </c>
      <c r="CU74" t="s">
        <v>44</v>
      </c>
      <c r="CV74" t="s">
        <v>44</v>
      </c>
      <c r="CW74" t="s">
        <v>44</v>
      </c>
      <c r="CX74" t="s">
        <v>80</v>
      </c>
      <c r="CY74" t="s">
        <v>80</v>
      </c>
      <c r="CZ74" t="s">
        <v>80</v>
      </c>
      <c r="DA74" t="s">
        <v>80</v>
      </c>
      <c r="DB74" t="s">
        <v>80</v>
      </c>
      <c r="DC74" t="s">
        <v>81</v>
      </c>
      <c r="DD74" t="s">
        <v>282</v>
      </c>
      <c r="DE74" t="s">
        <v>282</v>
      </c>
      <c r="DF74" t="s">
        <v>282</v>
      </c>
      <c r="DG74" t="s">
        <v>81</v>
      </c>
      <c r="DH74" t="s">
        <v>27</v>
      </c>
      <c r="DI7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12.682580400000001</v>
      </c>
      <c r="DJ74" t="s">
        <v>716</v>
      </c>
      <c r="DK74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3.0368533506249999</v>
      </c>
      <c r="DL74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12.865467804502817</v>
      </c>
    </row>
    <row r="75" spans="1:116" x14ac:dyDescent="0.2">
      <c r="A75">
        <v>250723</v>
      </c>
      <c r="B75" t="s">
        <v>717</v>
      </c>
      <c r="C75">
        <v>26</v>
      </c>
      <c r="D75">
        <v>4</v>
      </c>
      <c r="E75" s="1">
        <v>45919</v>
      </c>
      <c r="F75" t="s">
        <v>718</v>
      </c>
      <c r="G75">
        <v>0</v>
      </c>
      <c r="H75">
        <v>1</v>
      </c>
      <c r="I75" t="s">
        <v>719</v>
      </c>
      <c r="J75" t="s">
        <v>266</v>
      </c>
      <c r="K75">
        <v>79</v>
      </c>
      <c r="L75">
        <v>84</v>
      </c>
      <c r="M75">
        <v>26500000</v>
      </c>
      <c r="N75">
        <v>49000</v>
      </c>
      <c r="O75">
        <v>24</v>
      </c>
      <c r="P75" s="1">
        <v>37028</v>
      </c>
      <c r="Q75">
        <v>185</v>
      </c>
      <c r="R75">
        <v>80</v>
      </c>
      <c r="S75">
        <v>31</v>
      </c>
      <c r="T75" t="s">
        <v>250</v>
      </c>
      <c r="U75">
        <v>1</v>
      </c>
      <c r="V75">
        <v>52</v>
      </c>
      <c r="W75" t="s">
        <v>313</v>
      </c>
      <c r="X75" t="s">
        <v>116</v>
      </c>
      <c r="Y75">
        <v>17</v>
      </c>
      <c r="AA75" s="1">
        <v>45839</v>
      </c>
      <c r="AB75">
        <v>2029</v>
      </c>
      <c r="AC75">
        <v>18</v>
      </c>
      <c r="AD75" t="s">
        <v>296</v>
      </c>
      <c r="AE75">
        <v>1335</v>
      </c>
      <c r="AF75" t="s">
        <v>116</v>
      </c>
      <c r="AG75">
        <v>13</v>
      </c>
      <c r="AH75" t="s">
        <v>2</v>
      </c>
      <c r="AI75">
        <v>3</v>
      </c>
      <c r="AJ75">
        <v>4</v>
      </c>
      <c r="AK75">
        <v>2</v>
      </c>
      <c r="AM75" t="s">
        <v>127</v>
      </c>
      <c r="AN75" t="s">
        <v>254</v>
      </c>
      <c r="AO75">
        <v>47000000</v>
      </c>
      <c r="AQ75">
        <v>0</v>
      </c>
      <c r="AR75" t="s">
        <v>720</v>
      </c>
      <c r="AS75">
        <v>74</v>
      </c>
      <c r="AT75">
        <v>74</v>
      </c>
      <c r="AU75">
        <v>75</v>
      </c>
      <c r="AV75">
        <v>81</v>
      </c>
      <c r="AW75">
        <v>74</v>
      </c>
      <c r="AX75">
        <v>82</v>
      </c>
      <c r="AY75">
        <v>70</v>
      </c>
      <c r="AZ75">
        <v>71</v>
      </c>
      <c r="BA75">
        <v>68</v>
      </c>
      <c r="BB75">
        <v>80</v>
      </c>
      <c r="BC75">
        <v>55</v>
      </c>
      <c r="BD75">
        <v>82</v>
      </c>
      <c r="BE75">
        <v>70</v>
      </c>
      <c r="BF75">
        <v>53</v>
      </c>
      <c r="BG75">
        <v>76</v>
      </c>
      <c r="BH75">
        <v>83</v>
      </c>
      <c r="BI75">
        <v>77</v>
      </c>
      <c r="BJ75">
        <v>72</v>
      </c>
      <c r="BK75">
        <v>79</v>
      </c>
      <c r="BL75">
        <v>79</v>
      </c>
      <c r="BM75">
        <v>72</v>
      </c>
      <c r="BN75">
        <v>86</v>
      </c>
      <c r="BO75">
        <v>83</v>
      </c>
      <c r="BP75">
        <v>82</v>
      </c>
      <c r="BQ75">
        <v>82</v>
      </c>
      <c r="BR75">
        <v>76</v>
      </c>
      <c r="BS75">
        <v>82</v>
      </c>
      <c r="BT75">
        <v>76</v>
      </c>
      <c r="BU75">
        <v>75</v>
      </c>
      <c r="BV75">
        <v>75</v>
      </c>
      <c r="BW75">
        <v>54</v>
      </c>
      <c r="BX75">
        <v>75</v>
      </c>
      <c r="BY75">
        <v>69</v>
      </c>
      <c r="BZ75">
        <v>79</v>
      </c>
      <c r="CA75">
        <v>71</v>
      </c>
      <c r="CB75">
        <v>11</v>
      </c>
      <c r="CC75">
        <v>10</v>
      </c>
      <c r="CD75">
        <v>11</v>
      </c>
      <c r="CE75">
        <v>9</v>
      </c>
      <c r="CF75">
        <v>10</v>
      </c>
      <c r="CH75" t="s">
        <v>63</v>
      </c>
      <c r="CI75" t="s">
        <v>63</v>
      </c>
      <c r="CJ75" t="s">
        <v>63</v>
      </c>
      <c r="CK75" t="s">
        <v>43</v>
      </c>
      <c r="CL75" t="s">
        <v>66</v>
      </c>
      <c r="CM75" t="s">
        <v>66</v>
      </c>
      <c r="CN75" t="s">
        <v>66</v>
      </c>
      <c r="CO75" t="s">
        <v>43</v>
      </c>
      <c r="CP75" t="s">
        <v>62</v>
      </c>
      <c r="CQ75" t="s">
        <v>62</v>
      </c>
      <c r="CR75" t="s">
        <v>62</v>
      </c>
      <c r="CS75" t="s">
        <v>62</v>
      </c>
      <c r="CT75" t="s">
        <v>26</v>
      </c>
      <c r="CU75" t="s">
        <v>26</v>
      </c>
      <c r="CV75" t="s">
        <v>26</v>
      </c>
      <c r="CW75" t="s">
        <v>62</v>
      </c>
      <c r="CX75" t="s">
        <v>63</v>
      </c>
      <c r="CY75" t="s">
        <v>62</v>
      </c>
      <c r="CZ75" t="s">
        <v>62</v>
      </c>
      <c r="DA75" t="s">
        <v>62</v>
      </c>
      <c r="DB75" t="s">
        <v>63</v>
      </c>
      <c r="DC75" t="s">
        <v>64</v>
      </c>
      <c r="DD75" t="s">
        <v>63</v>
      </c>
      <c r="DE75" t="s">
        <v>63</v>
      </c>
      <c r="DF75" t="s">
        <v>63</v>
      </c>
      <c r="DG75" t="s">
        <v>64</v>
      </c>
      <c r="DH75" t="s">
        <v>70</v>
      </c>
      <c r="DI7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13.594114599999999</v>
      </c>
      <c r="DJ75" t="s">
        <v>721</v>
      </c>
      <c r="DK75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2.7347258056640626</v>
      </c>
      <c r="DL75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13.71496413537605</v>
      </c>
    </row>
    <row r="76" spans="1:116" x14ac:dyDescent="0.2">
      <c r="A76">
        <v>216150</v>
      </c>
      <c r="B76" t="s">
        <v>722</v>
      </c>
      <c r="C76">
        <v>26</v>
      </c>
      <c r="D76">
        <v>4</v>
      </c>
      <c r="E76" s="1">
        <v>45919</v>
      </c>
      <c r="F76" t="s">
        <v>723</v>
      </c>
      <c r="G76">
        <v>1</v>
      </c>
      <c r="H76">
        <v>0</v>
      </c>
      <c r="I76" t="s">
        <v>724</v>
      </c>
      <c r="J76" t="s">
        <v>725</v>
      </c>
      <c r="K76">
        <v>79</v>
      </c>
      <c r="L76">
        <v>79</v>
      </c>
      <c r="M76">
        <v>11000000</v>
      </c>
      <c r="N76">
        <v>69000</v>
      </c>
      <c r="O76">
        <v>33</v>
      </c>
      <c r="P76" s="1">
        <v>33766</v>
      </c>
      <c r="Q76">
        <v>182</v>
      </c>
      <c r="R76">
        <v>75</v>
      </c>
      <c r="S76">
        <v>31</v>
      </c>
      <c r="T76" t="s">
        <v>250</v>
      </c>
      <c r="U76">
        <v>1</v>
      </c>
      <c r="V76">
        <v>39</v>
      </c>
      <c r="W76" t="s">
        <v>396</v>
      </c>
      <c r="X76" t="s">
        <v>110</v>
      </c>
      <c r="Y76">
        <v>77</v>
      </c>
      <c r="AA76" s="1">
        <v>44432</v>
      </c>
      <c r="AB76">
        <v>2026</v>
      </c>
      <c r="AC76">
        <v>27</v>
      </c>
      <c r="AD76" t="s">
        <v>267</v>
      </c>
      <c r="AH76" t="s">
        <v>2</v>
      </c>
      <c r="AI76">
        <v>3</v>
      </c>
      <c r="AJ76">
        <v>3</v>
      </c>
      <c r="AK76">
        <v>2</v>
      </c>
      <c r="AM76" t="s">
        <v>19</v>
      </c>
      <c r="AN76" t="s">
        <v>254</v>
      </c>
      <c r="AO76">
        <v>18700000</v>
      </c>
      <c r="AQ76">
        <v>0</v>
      </c>
      <c r="AR76" t="s">
        <v>726</v>
      </c>
      <c r="AS76">
        <v>76</v>
      </c>
      <c r="AT76">
        <v>73</v>
      </c>
      <c r="AU76">
        <v>77</v>
      </c>
      <c r="AV76">
        <v>77</v>
      </c>
      <c r="AW76">
        <v>76</v>
      </c>
      <c r="AX76">
        <v>69</v>
      </c>
      <c r="AY76">
        <v>84</v>
      </c>
      <c r="AZ76">
        <v>71</v>
      </c>
      <c r="BA76">
        <v>69</v>
      </c>
      <c r="BB76">
        <v>79</v>
      </c>
      <c r="BC76">
        <v>69</v>
      </c>
      <c r="BD76">
        <v>79</v>
      </c>
      <c r="BE76">
        <v>78</v>
      </c>
      <c r="BF76">
        <v>59</v>
      </c>
      <c r="BG76">
        <v>75</v>
      </c>
      <c r="BH76">
        <v>78</v>
      </c>
      <c r="BI76">
        <v>78</v>
      </c>
      <c r="BJ76">
        <v>74</v>
      </c>
      <c r="BK76">
        <v>71</v>
      </c>
      <c r="BL76">
        <v>76</v>
      </c>
      <c r="BM76">
        <v>69</v>
      </c>
      <c r="BN76">
        <v>79</v>
      </c>
      <c r="BO76">
        <v>75</v>
      </c>
      <c r="BP76">
        <v>80</v>
      </c>
      <c r="BQ76">
        <v>61</v>
      </c>
      <c r="BR76">
        <v>75</v>
      </c>
      <c r="BS76">
        <v>75</v>
      </c>
      <c r="BT76">
        <v>77</v>
      </c>
      <c r="BU76">
        <v>79</v>
      </c>
      <c r="BV76">
        <v>70</v>
      </c>
      <c r="BW76">
        <v>59</v>
      </c>
      <c r="BX76">
        <v>74</v>
      </c>
      <c r="BY76">
        <v>75</v>
      </c>
      <c r="BZ76">
        <v>78</v>
      </c>
      <c r="CA76">
        <v>78</v>
      </c>
      <c r="CB76">
        <v>11</v>
      </c>
      <c r="CC76">
        <v>9</v>
      </c>
      <c r="CD76">
        <v>8</v>
      </c>
      <c r="CE76">
        <v>6</v>
      </c>
      <c r="CF76">
        <v>11</v>
      </c>
      <c r="CH76" t="s">
        <v>64</v>
      </c>
      <c r="CI76" t="s">
        <v>64</v>
      </c>
      <c r="CJ76" t="s">
        <v>64</v>
      </c>
      <c r="CK76" t="s">
        <v>43</v>
      </c>
      <c r="CL76" t="s">
        <v>97</v>
      </c>
      <c r="CM76" t="s">
        <v>97</v>
      </c>
      <c r="CN76" t="s">
        <v>97</v>
      </c>
      <c r="CO76" t="s">
        <v>43</v>
      </c>
      <c r="CP76" t="s">
        <v>63</v>
      </c>
      <c r="CQ76" t="s">
        <v>63</v>
      </c>
      <c r="CR76" t="s">
        <v>63</v>
      </c>
      <c r="CS76" t="s">
        <v>80</v>
      </c>
      <c r="CT76" t="s">
        <v>81</v>
      </c>
      <c r="CU76" t="s">
        <v>81</v>
      </c>
      <c r="CV76" t="s">
        <v>81</v>
      </c>
      <c r="CW76" t="s">
        <v>80</v>
      </c>
      <c r="CX76" t="s">
        <v>80</v>
      </c>
      <c r="CY76" t="s">
        <v>63</v>
      </c>
      <c r="CZ76" t="s">
        <v>63</v>
      </c>
      <c r="DA76" t="s">
        <v>63</v>
      </c>
      <c r="DB76" t="s">
        <v>80</v>
      </c>
      <c r="DC76" t="s">
        <v>80</v>
      </c>
      <c r="DD76" t="s">
        <v>54</v>
      </c>
      <c r="DE76" t="s">
        <v>54</v>
      </c>
      <c r="DF76" t="s">
        <v>54</v>
      </c>
      <c r="DG76" t="s">
        <v>80</v>
      </c>
      <c r="DH76" t="s">
        <v>75</v>
      </c>
      <c r="DI7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12.9521385</v>
      </c>
      <c r="DJ76" t="s">
        <v>727</v>
      </c>
      <c r="DK76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2.7807825976562497</v>
      </c>
      <c r="DL76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13.076280306697322</v>
      </c>
    </row>
    <row r="77" spans="1:116" x14ac:dyDescent="0.2">
      <c r="A77">
        <v>258966</v>
      </c>
      <c r="B77" t="s">
        <v>728</v>
      </c>
      <c r="C77">
        <v>26</v>
      </c>
      <c r="D77">
        <v>4</v>
      </c>
      <c r="E77" s="1">
        <v>45919</v>
      </c>
      <c r="F77" t="s">
        <v>729</v>
      </c>
      <c r="G77">
        <v>1</v>
      </c>
      <c r="H77">
        <v>0</v>
      </c>
      <c r="I77" t="s">
        <v>730</v>
      </c>
      <c r="J77" t="s">
        <v>731</v>
      </c>
      <c r="K77">
        <v>79</v>
      </c>
      <c r="L77">
        <v>82</v>
      </c>
      <c r="M77">
        <v>21500000</v>
      </c>
      <c r="N77">
        <v>95000</v>
      </c>
      <c r="O77">
        <v>25</v>
      </c>
      <c r="P77" s="1">
        <v>36576</v>
      </c>
      <c r="Q77">
        <v>182</v>
      </c>
      <c r="R77">
        <v>77</v>
      </c>
      <c r="S77">
        <v>31</v>
      </c>
      <c r="T77" t="s">
        <v>250</v>
      </c>
      <c r="U77">
        <v>1</v>
      </c>
      <c r="V77">
        <v>45</v>
      </c>
      <c r="W77" t="s">
        <v>345</v>
      </c>
      <c r="X77" t="s">
        <v>104</v>
      </c>
      <c r="Y77">
        <v>27</v>
      </c>
      <c r="AA77" s="1">
        <v>44756</v>
      </c>
      <c r="AB77">
        <v>2027</v>
      </c>
      <c r="AC77">
        <v>27</v>
      </c>
      <c r="AD77" t="s">
        <v>267</v>
      </c>
      <c r="AE77">
        <v>1343</v>
      </c>
      <c r="AF77" t="s">
        <v>110</v>
      </c>
      <c r="AG77">
        <v>19</v>
      </c>
      <c r="AH77" t="s">
        <v>18</v>
      </c>
      <c r="AI77">
        <v>5</v>
      </c>
      <c r="AJ77">
        <v>3</v>
      </c>
      <c r="AK77">
        <v>2</v>
      </c>
      <c r="AM77" t="s">
        <v>19</v>
      </c>
      <c r="AN77" t="s">
        <v>254</v>
      </c>
      <c r="AO77">
        <v>38200000</v>
      </c>
      <c r="AQ77">
        <v>0</v>
      </c>
      <c r="AR77" t="s">
        <v>732</v>
      </c>
      <c r="AS77">
        <v>78</v>
      </c>
      <c r="AT77">
        <v>70</v>
      </c>
      <c r="AU77">
        <v>77</v>
      </c>
      <c r="AV77">
        <v>79</v>
      </c>
      <c r="AW77">
        <v>75</v>
      </c>
      <c r="AX77">
        <v>70</v>
      </c>
      <c r="AY77">
        <v>79</v>
      </c>
      <c r="AZ77">
        <v>68</v>
      </c>
      <c r="BA77">
        <v>62</v>
      </c>
      <c r="BB77">
        <v>79</v>
      </c>
      <c r="BC77">
        <v>72</v>
      </c>
      <c r="BD77">
        <v>80</v>
      </c>
      <c r="BE77">
        <v>76</v>
      </c>
      <c r="BF77">
        <v>60</v>
      </c>
      <c r="BG77">
        <v>75</v>
      </c>
      <c r="BH77">
        <v>80</v>
      </c>
      <c r="BI77">
        <v>79</v>
      </c>
      <c r="BJ77">
        <v>78</v>
      </c>
      <c r="BK77">
        <v>78</v>
      </c>
      <c r="BL77">
        <v>78</v>
      </c>
      <c r="BM77">
        <v>71</v>
      </c>
      <c r="BN77">
        <v>75</v>
      </c>
      <c r="BO77">
        <v>75</v>
      </c>
      <c r="BP77">
        <v>76</v>
      </c>
      <c r="BQ77">
        <v>66</v>
      </c>
      <c r="BR77">
        <v>75</v>
      </c>
      <c r="BS77">
        <v>71</v>
      </c>
      <c r="BT77">
        <v>74</v>
      </c>
      <c r="BU77">
        <v>78</v>
      </c>
      <c r="BV77">
        <v>79</v>
      </c>
      <c r="BW77">
        <v>46</v>
      </c>
      <c r="BX77">
        <v>78</v>
      </c>
      <c r="BY77">
        <v>76</v>
      </c>
      <c r="BZ77">
        <v>79</v>
      </c>
      <c r="CA77">
        <v>76</v>
      </c>
      <c r="CB77">
        <v>13</v>
      </c>
      <c r="CC77">
        <v>7</v>
      </c>
      <c r="CD77">
        <v>7</v>
      </c>
      <c r="CE77">
        <v>13</v>
      </c>
      <c r="CF77">
        <v>13</v>
      </c>
      <c r="CH77" t="s">
        <v>54</v>
      </c>
      <c r="CI77" t="s">
        <v>54</v>
      </c>
      <c r="CJ77" t="s">
        <v>54</v>
      </c>
      <c r="CK77" t="s">
        <v>66</v>
      </c>
      <c r="CL77" t="s">
        <v>43</v>
      </c>
      <c r="CM77" t="s">
        <v>43</v>
      </c>
      <c r="CN77" t="s">
        <v>43</v>
      </c>
      <c r="CO77" t="s">
        <v>66</v>
      </c>
      <c r="CP77" t="s">
        <v>62</v>
      </c>
      <c r="CQ77" t="s">
        <v>62</v>
      </c>
      <c r="CR77" t="s">
        <v>62</v>
      </c>
      <c r="CS77" t="s">
        <v>62</v>
      </c>
      <c r="CT77" t="s">
        <v>62</v>
      </c>
      <c r="CU77" t="s">
        <v>62</v>
      </c>
      <c r="CV77" t="s">
        <v>62</v>
      </c>
      <c r="CW77" t="s">
        <v>62</v>
      </c>
      <c r="CX77" t="s">
        <v>62</v>
      </c>
      <c r="CY77" t="s">
        <v>63</v>
      </c>
      <c r="CZ77" t="s">
        <v>63</v>
      </c>
      <c r="DA77" t="s">
        <v>63</v>
      </c>
      <c r="DB77" t="s">
        <v>62</v>
      </c>
      <c r="DC77" t="s">
        <v>81</v>
      </c>
      <c r="DD77" t="s">
        <v>54</v>
      </c>
      <c r="DE77" t="s">
        <v>54</v>
      </c>
      <c r="DF77" t="s">
        <v>54</v>
      </c>
      <c r="DG77" t="s">
        <v>81</v>
      </c>
      <c r="DH77" t="s">
        <v>84</v>
      </c>
      <c r="DI7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13.479168099999999</v>
      </c>
      <c r="DJ77" t="s">
        <v>733</v>
      </c>
      <c r="DK77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2.8802770847265626</v>
      </c>
      <c r="DL77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13.700554916485858</v>
      </c>
    </row>
    <row r="78" spans="1:116" x14ac:dyDescent="0.2">
      <c r="A78">
        <v>255001</v>
      </c>
      <c r="B78" t="s">
        <v>734</v>
      </c>
      <c r="C78">
        <v>26</v>
      </c>
      <c r="D78">
        <v>4</v>
      </c>
      <c r="E78" s="1">
        <v>45919</v>
      </c>
      <c r="F78" t="s">
        <v>735</v>
      </c>
      <c r="G78">
        <v>0</v>
      </c>
      <c r="H78">
        <v>1</v>
      </c>
      <c r="I78" t="s">
        <v>736</v>
      </c>
      <c r="J78" t="s">
        <v>76</v>
      </c>
      <c r="K78">
        <v>79</v>
      </c>
      <c r="L78">
        <v>84</v>
      </c>
      <c r="M78">
        <v>24500000</v>
      </c>
      <c r="N78">
        <v>31000</v>
      </c>
      <c r="O78">
        <v>23</v>
      </c>
      <c r="P78" s="1">
        <v>37229</v>
      </c>
      <c r="Q78">
        <v>179</v>
      </c>
      <c r="R78">
        <v>70</v>
      </c>
      <c r="S78">
        <v>31</v>
      </c>
      <c r="T78" t="s">
        <v>250</v>
      </c>
      <c r="U78">
        <v>1</v>
      </c>
      <c r="V78">
        <v>46</v>
      </c>
      <c r="W78" t="s">
        <v>365</v>
      </c>
      <c r="X78" t="s">
        <v>266</v>
      </c>
      <c r="Y78">
        <v>6</v>
      </c>
      <c r="AA78" s="1">
        <v>45839</v>
      </c>
      <c r="AB78">
        <v>2028</v>
      </c>
      <c r="AC78">
        <v>27</v>
      </c>
      <c r="AD78" t="s">
        <v>267</v>
      </c>
      <c r="AE78">
        <v>1343</v>
      </c>
      <c r="AF78" t="s">
        <v>110</v>
      </c>
      <c r="AG78">
        <v>6</v>
      </c>
      <c r="AH78" t="s">
        <v>2</v>
      </c>
      <c r="AI78">
        <v>4</v>
      </c>
      <c r="AJ78">
        <v>3</v>
      </c>
      <c r="AK78">
        <v>3</v>
      </c>
      <c r="AM78" t="s">
        <v>19</v>
      </c>
      <c r="AN78" t="s">
        <v>4</v>
      </c>
      <c r="AO78">
        <v>43500000</v>
      </c>
      <c r="AQ78">
        <v>0</v>
      </c>
      <c r="AR78" t="s">
        <v>737</v>
      </c>
      <c r="AS78">
        <v>76</v>
      </c>
      <c r="AT78">
        <v>63</v>
      </c>
      <c r="AU78">
        <v>77</v>
      </c>
      <c r="AV78">
        <v>78</v>
      </c>
      <c r="AW78">
        <v>75</v>
      </c>
      <c r="AX78">
        <v>71</v>
      </c>
      <c r="AY78">
        <v>67</v>
      </c>
      <c r="AZ78">
        <v>52</v>
      </c>
      <c r="BA78">
        <v>62</v>
      </c>
      <c r="BB78">
        <v>82</v>
      </c>
      <c r="BC78">
        <v>68</v>
      </c>
      <c r="BD78">
        <v>78</v>
      </c>
      <c r="BE78">
        <v>74</v>
      </c>
      <c r="BF78">
        <v>71</v>
      </c>
      <c r="BG78">
        <v>80</v>
      </c>
      <c r="BH78">
        <v>80</v>
      </c>
      <c r="BI78">
        <v>75</v>
      </c>
      <c r="BJ78">
        <v>77</v>
      </c>
      <c r="BK78">
        <v>79</v>
      </c>
      <c r="BL78">
        <v>77</v>
      </c>
      <c r="BM78">
        <v>77</v>
      </c>
      <c r="BN78">
        <v>72</v>
      </c>
      <c r="BO78">
        <v>72</v>
      </c>
      <c r="BP78">
        <v>85</v>
      </c>
      <c r="BQ78">
        <v>62</v>
      </c>
      <c r="BR78">
        <v>76</v>
      </c>
      <c r="BS78">
        <v>78</v>
      </c>
      <c r="BT78">
        <v>78</v>
      </c>
      <c r="BU78">
        <v>68</v>
      </c>
      <c r="BV78">
        <v>79</v>
      </c>
      <c r="BW78">
        <v>60</v>
      </c>
      <c r="BX78">
        <v>74</v>
      </c>
      <c r="BY78">
        <v>76</v>
      </c>
      <c r="BZ78">
        <v>77</v>
      </c>
      <c r="CA78">
        <v>76</v>
      </c>
      <c r="CB78">
        <v>9</v>
      </c>
      <c r="CC78">
        <v>12</v>
      </c>
      <c r="CD78">
        <v>11</v>
      </c>
      <c r="CE78">
        <v>9</v>
      </c>
      <c r="CF78">
        <v>10</v>
      </c>
      <c r="CH78" t="s">
        <v>283</v>
      </c>
      <c r="CI78" t="s">
        <v>283</v>
      </c>
      <c r="CJ78" t="s">
        <v>283</v>
      </c>
      <c r="CK78" t="s">
        <v>21</v>
      </c>
      <c r="CL78" t="s">
        <v>21</v>
      </c>
      <c r="CM78" t="s">
        <v>21</v>
      </c>
      <c r="CN78" t="s">
        <v>21</v>
      </c>
      <c r="CO78" t="s">
        <v>21</v>
      </c>
      <c r="CP78" t="s">
        <v>24</v>
      </c>
      <c r="CQ78" t="s">
        <v>24</v>
      </c>
      <c r="CR78" t="s">
        <v>24</v>
      </c>
      <c r="CS78" t="s">
        <v>25</v>
      </c>
      <c r="CT78" t="s">
        <v>10</v>
      </c>
      <c r="CU78" t="s">
        <v>10</v>
      </c>
      <c r="CV78" t="s">
        <v>10</v>
      </c>
      <c r="CW78" t="s">
        <v>25</v>
      </c>
      <c r="CX78" t="s">
        <v>30</v>
      </c>
      <c r="CY78" t="s">
        <v>10</v>
      </c>
      <c r="CZ78" t="s">
        <v>10</v>
      </c>
      <c r="DA78" t="s">
        <v>10</v>
      </c>
      <c r="DB78" t="s">
        <v>30</v>
      </c>
      <c r="DC78" t="s">
        <v>30</v>
      </c>
      <c r="DD78" t="s">
        <v>23</v>
      </c>
      <c r="DE78" t="s">
        <v>23</v>
      </c>
      <c r="DF78" t="s">
        <v>23</v>
      </c>
      <c r="DG78" t="s">
        <v>30</v>
      </c>
      <c r="DH78" t="s">
        <v>46</v>
      </c>
      <c r="DI7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12.785993499999998</v>
      </c>
      <c r="DJ78" t="s">
        <v>738</v>
      </c>
      <c r="DK78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2.8858348751562506</v>
      </c>
      <c r="DL78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12.905818875928217</v>
      </c>
    </row>
    <row r="79" spans="1:116" x14ac:dyDescent="0.2">
      <c r="A79">
        <v>237942</v>
      </c>
      <c r="B79" t="s">
        <v>739</v>
      </c>
      <c r="C79">
        <v>26</v>
      </c>
      <c r="D79">
        <v>4</v>
      </c>
      <c r="E79" s="1">
        <v>45919</v>
      </c>
      <c r="F79" t="s">
        <v>740</v>
      </c>
      <c r="G79">
        <v>1</v>
      </c>
      <c r="H79">
        <v>0</v>
      </c>
      <c r="I79" t="s">
        <v>741</v>
      </c>
      <c r="J79" t="s">
        <v>82</v>
      </c>
      <c r="K79">
        <v>79</v>
      </c>
      <c r="L79">
        <v>80</v>
      </c>
      <c r="M79">
        <v>18500000</v>
      </c>
      <c r="N79">
        <v>48000</v>
      </c>
      <c r="O79">
        <v>27</v>
      </c>
      <c r="P79" s="1">
        <v>35816</v>
      </c>
      <c r="Q79">
        <v>175</v>
      </c>
      <c r="R79">
        <v>79</v>
      </c>
      <c r="S79">
        <v>31</v>
      </c>
      <c r="T79" t="s">
        <v>250</v>
      </c>
      <c r="U79">
        <v>1</v>
      </c>
      <c r="V79">
        <v>47</v>
      </c>
      <c r="W79" t="s">
        <v>295</v>
      </c>
      <c r="X79" t="s">
        <v>104</v>
      </c>
      <c r="Y79">
        <v>2</v>
      </c>
      <c r="AA79" s="1">
        <v>45862</v>
      </c>
      <c r="AB79">
        <v>2030</v>
      </c>
      <c r="AC79">
        <v>57</v>
      </c>
      <c r="AD79" t="s">
        <v>742</v>
      </c>
      <c r="AH79" t="s">
        <v>18</v>
      </c>
      <c r="AI79">
        <v>3</v>
      </c>
      <c r="AJ79">
        <v>3</v>
      </c>
      <c r="AK79">
        <v>3</v>
      </c>
      <c r="AM79" t="s">
        <v>3</v>
      </c>
      <c r="AN79" t="s">
        <v>254</v>
      </c>
      <c r="AO79">
        <v>32799999</v>
      </c>
      <c r="AQ79">
        <v>0</v>
      </c>
      <c r="AS79">
        <v>76</v>
      </c>
      <c r="AT79">
        <v>57</v>
      </c>
      <c r="AU79">
        <v>77</v>
      </c>
      <c r="AV79">
        <v>78</v>
      </c>
      <c r="AW79">
        <v>75</v>
      </c>
      <c r="AX79">
        <v>72</v>
      </c>
      <c r="AY79">
        <v>79</v>
      </c>
      <c r="AZ79">
        <v>48</v>
      </c>
      <c r="BA79">
        <v>70</v>
      </c>
      <c r="BB79">
        <v>79</v>
      </c>
      <c r="BC79">
        <v>38</v>
      </c>
      <c r="BD79">
        <v>80</v>
      </c>
      <c r="BE79">
        <v>78</v>
      </c>
      <c r="BF79">
        <v>79</v>
      </c>
      <c r="BG79">
        <v>72</v>
      </c>
      <c r="BH79">
        <v>79</v>
      </c>
      <c r="BI79">
        <v>77</v>
      </c>
      <c r="BJ79">
        <v>76</v>
      </c>
      <c r="BK79">
        <v>74</v>
      </c>
      <c r="BL79">
        <v>77</v>
      </c>
      <c r="BM79">
        <v>73</v>
      </c>
      <c r="BN79">
        <v>67</v>
      </c>
      <c r="BO79">
        <v>77</v>
      </c>
      <c r="BP79">
        <v>81</v>
      </c>
      <c r="BQ79">
        <v>68</v>
      </c>
      <c r="BR79">
        <v>65</v>
      </c>
      <c r="BS79">
        <v>70</v>
      </c>
      <c r="BT79">
        <v>77</v>
      </c>
      <c r="BU79">
        <v>70</v>
      </c>
      <c r="BV79">
        <v>72</v>
      </c>
      <c r="BW79">
        <v>65</v>
      </c>
      <c r="BX79">
        <v>72</v>
      </c>
      <c r="BY79">
        <v>72</v>
      </c>
      <c r="BZ79">
        <v>78</v>
      </c>
      <c r="CA79">
        <v>76</v>
      </c>
      <c r="CB79">
        <v>14</v>
      </c>
      <c r="CC79">
        <v>7</v>
      </c>
      <c r="CD79">
        <v>14</v>
      </c>
      <c r="CE79">
        <v>7</v>
      </c>
      <c r="CF79">
        <v>7</v>
      </c>
      <c r="CH79" t="s">
        <v>37</v>
      </c>
      <c r="CI79" t="s">
        <v>37</v>
      </c>
      <c r="CJ79" t="s">
        <v>37</v>
      </c>
      <c r="CK79" t="s">
        <v>21</v>
      </c>
      <c r="CL79" t="s">
        <v>22</v>
      </c>
      <c r="CM79" t="s">
        <v>22</v>
      </c>
      <c r="CN79" t="s">
        <v>22</v>
      </c>
      <c r="CO79" t="s">
        <v>21</v>
      </c>
      <c r="CP79" t="s">
        <v>23</v>
      </c>
      <c r="CQ79" t="s">
        <v>23</v>
      </c>
      <c r="CR79" t="s">
        <v>23</v>
      </c>
      <c r="CS79" t="s">
        <v>25</v>
      </c>
      <c r="CT79" t="s">
        <v>25</v>
      </c>
      <c r="CU79" t="s">
        <v>25</v>
      </c>
      <c r="CV79" t="s">
        <v>25</v>
      </c>
      <c r="CW79" t="s">
        <v>25</v>
      </c>
      <c r="CX79" t="s">
        <v>62</v>
      </c>
      <c r="CY79" t="s">
        <v>24</v>
      </c>
      <c r="CZ79" t="s">
        <v>24</v>
      </c>
      <c r="DA79" t="s">
        <v>24</v>
      </c>
      <c r="DB79" t="s">
        <v>62</v>
      </c>
      <c r="DC79" t="s">
        <v>30</v>
      </c>
      <c r="DD79" t="s">
        <v>23</v>
      </c>
      <c r="DE79" t="s">
        <v>23</v>
      </c>
      <c r="DF79" t="s">
        <v>23</v>
      </c>
      <c r="DG79" t="s">
        <v>30</v>
      </c>
      <c r="DH79" t="s">
        <v>46</v>
      </c>
      <c r="DI7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13.233245799999999</v>
      </c>
      <c r="DJ79" t="s">
        <v>743</v>
      </c>
      <c r="DK79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2.8090200625000001</v>
      </c>
      <c r="DL79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13.367950549376689</v>
      </c>
    </row>
    <row r="80" spans="1:116" x14ac:dyDescent="0.2">
      <c r="A80">
        <v>241095</v>
      </c>
      <c r="B80" t="s">
        <v>744</v>
      </c>
      <c r="C80">
        <v>26</v>
      </c>
      <c r="D80">
        <v>4</v>
      </c>
      <c r="E80" s="1">
        <v>45919</v>
      </c>
      <c r="F80" t="s">
        <v>745</v>
      </c>
      <c r="G80">
        <v>0</v>
      </c>
      <c r="H80">
        <v>0</v>
      </c>
      <c r="I80" t="s">
        <v>746</v>
      </c>
      <c r="J80" t="s">
        <v>747</v>
      </c>
      <c r="K80">
        <v>79</v>
      </c>
      <c r="L80">
        <v>79</v>
      </c>
      <c r="M80">
        <v>18500000</v>
      </c>
      <c r="N80">
        <v>45000</v>
      </c>
      <c r="O80">
        <v>27</v>
      </c>
      <c r="P80" s="1">
        <v>35707</v>
      </c>
      <c r="Q80">
        <v>179</v>
      </c>
      <c r="R80">
        <v>79</v>
      </c>
      <c r="S80">
        <v>31</v>
      </c>
      <c r="T80" t="s">
        <v>250</v>
      </c>
      <c r="U80">
        <v>1</v>
      </c>
      <c r="V80">
        <v>54</v>
      </c>
      <c r="W80" t="s">
        <v>533</v>
      </c>
      <c r="X80" t="s">
        <v>17</v>
      </c>
      <c r="Y80">
        <v>10</v>
      </c>
      <c r="AA80" s="1">
        <v>45146</v>
      </c>
      <c r="AB80">
        <v>2027</v>
      </c>
      <c r="AC80">
        <v>10</v>
      </c>
      <c r="AD80" t="s">
        <v>431</v>
      </c>
      <c r="AE80">
        <v>1328</v>
      </c>
      <c r="AF80" t="s">
        <v>110</v>
      </c>
      <c r="AG80">
        <v>13</v>
      </c>
      <c r="AH80" t="s">
        <v>2</v>
      </c>
      <c r="AI80">
        <v>4</v>
      </c>
      <c r="AJ80">
        <v>3</v>
      </c>
      <c r="AK80">
        <v>2</v>
      </c>
      <c r="AM80" t="s">
        <v>3</v>
      </c>
      <c r="AN80" t="s">
        <v>254</v>
      </c>
      <c r="AO80">
        <v>31500000</v>
      </c>
      <c r="AQ80">
        <v>0</v>
      </c>
      <c r="AR80" t="s">
        <v>748</v>
      </c>
      <c r="AS80">
        <v>74</v>
      </c>
      <c r="AT80">
        <v>76</v>
      </c>
      <c r="AU80">
        <v>76</v>
      </c>
      <c r="AV80">
        <v>81</v>
      </c>
      <c r="AW80">
        <v>57</v>
      </c>
      <c r="AX80">
        <v>70</v>
      </c>
      <c r="AY80">
        <v>71</v>
      </c>
      <c r="AZ80">
        <v>74</v>
      </c>
      <c r="BA80">
        <v>65</v>
      </c>
      <c r="BB80">
        <v>80</v>
      </c>
      <c r="BC80">
        <v>68</v>
      </c>
      <c r="BD80">
        <v>82</v>
      </c>
      <c r="BE80">
        <v>70</v>
      </c>
      <c r="BF80">
        <v>72</v>
      </c>
      <c r="BG80">
        <v>74</v>
      </c>
      <c r="BH80">
        <v>83</v>
      </c>
      <c r="BI80">
        <v>77</v>
      </c>
      <c r="BJ80">
        <v>72</v>
      </c>
      <c r="BK80">
        <v>77</v>
      </c>
      <c r="BL80">
        <v>75</v>
      </c>
      <c r="BM80">
        <v>81</v>
      </c>
      <c r="BN80">
        <v>80</v>
      </c>
      <c r="BO80">
        <v>75</v>
      </c>
      <c r="BP80">
        <v>76</v>
      </c>
      <c r="BQ80">
        <v>65</v>
      </c>
      <c r="BR80">
        <v>80</v>
      </c>
      <c r="BS80">
        <v>75</v>
      </c>
      <c r="BT80">
        <v>62</v>
      </c>
      <c r="BU80">
        <v>76</v>
      </c>
      <c r="BV80">
        <v>78</v>
      </c>
      <c r="BW80">
        <v>66</v>
      </c>
      <c r="BX80">
        <v>77</v>
      </c>
      <c r="BY80">
        <v>54</v>
      </c>
      <c r="BZ80">
        <v>62</v>
      </c>
      <c r="CA80">
        <v>37</v>
      </c>
      <c r="CB80">
        <v>6</v>
      </c>
      <c r="CC80">
        <v>14</v>
      </c>
      <c r="CD80">
        <v>15</v>
      </c>
      <c r="CE80">
        <v>9</v>
      </c>
      <c r="CF80">
        <v>14</v>
      </c>
      <c r="CH80" t="s">
        <v>64</v>
      </c>
      <c r="CI80" t="s">
        <v>64</v>
      </c>
      <c r="CJ80" t="s">
        <v>64</v>
      </c>
      <c r="CK80" t="s">
        <v>66</v>
      </c>
      <c r="CL80" t="s">
        <v>66</v>
      </c>
      <c r="CM80" t="s">
        <v>66</v>
      </c>
      <c r="CN80" t="s">
        <v>66</v>
      </c>
      <c r="CO80" t="s">
        <v>66</v>
      </c>
      <c r="CP80" t="s">
        <v>44</v>
      </c>
      <c r="CQ80" t="s">
        <v>44</v>
      </c>
      <c r="CR80" t="s">
        <v>44</v>
      </c>
      <c r="CS80" t="s">
        <v>81</v>
      </c>
      <c r="CT80" t="s">
        <v>81</v>
      </c>
      <c r="CU80" t="s">
        <v>81</v>
      </c>
      <c r="CV80" t="s">
        <v>81</v>
      </c>
      <c r="CW80" t="s">
        <v>81</v>
      </c>
      <c r="CX80" t="s">
        <v>89</v>
      </c>
      <c r="CY80" t="s">
        <v>85</v>
      </c>
      <c r="CZ80" t="s">
        <v>85</v>
      </c>
      <c r="DA80" t="s">
        <v>85</v>
      </c>
      <c r="DB80" t="s">
        <v>89</v>
      </c>
      <c r="DC80" t="s">
        <v>52</v>
      </c>
      <c r="DD80" t="s">
        <v>105</v>
      </c>
      <c r="DE80" t="s">
        <v>105</v>
      </c>
      <c r="DF80" t="s">
        <v>105</v>
      </c>
      <c r="DG80" t="s">
        <v>52</v>
      </c>
      <c r="DH80" t="s">
        <v>70</v>
      </c>
      <c r="DI8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12.4308642</v>
      </c>
      <c r="DJ80" t="s">
        <v>749</v>
      </c>
      <c r="DK80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2.8061313476562502</v>
      </c>
      <c r="DL80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12.518532294413575</v>
      </c>
    </row>
    <row r="81" spans="1:116" x14ac:dyDescent="0.2">
      <c r="A81">
        <v>242664</v>
      </c>
      <c r="B81" t="s">
        <v>750</v>
      </c>
      <c r="C81">
        <v>26</v>
      </c>
      <c r="D81">
        <v>4</v>
      </c>
      <c r="E81" s="1">
        <v>45919</v>
      </c>
      <c r="F81" t="s">
        <v>751</v>
      </c>
      <c r="G81">
        <v>0</v>
      </c>
      <c r="H81">
        <v>0</v>
      </c>
      <c r="I81" t="s">
        <v>752</v>
      </c>
      <c r="J81" t="s">
        <v>753</v>
      </c>
      <c r="K81">
        <v>79</v>
      </c>
      <c r="L81">
        <v>80</v>
      </c>
      <c r="M81">
        <v>20500000</v>
      </c>
      <c r="N81">
        <v>50000</v>
      </c>
      <c r="O81">
        <v>26</v>
      </c>
      <c r="P81" s="1">
        <v>36338</v>
      </c>
      <c r="Q81">
        <v>180</v>
      </c>
      <c r="R81">
        <v>72</v>
      </c>
      <c r="S81">
        <v>31</v>
      </c>
      <c r="T81" t="s">
        <v>250</v>
      </c>
      <c r="U81">
        <v>1</v>
      </c>
      <c r="V81">
        <v>47</v>
      </c>
      <c r="W81" t="s">
        <v>295</v>
      </c>
      <c r="X81" t="s">
        <v>96</v>
      </c>
      <c r="Y81">
        <v>56</v>
      </c>
      <c r="AA81" s="1">
        <v>44075</v>
      </c>
      <c r="AB81">
        <v>2027</v>
      </c>
      <c r="AC81">
        <v>7</v>
      </c>
      <c r="AD81" t="s">
        <v>279</v>
      </c>
      <c r="AH81" t="s">
        <v>2</v>
      </c>
      <c r="AI81">
        <v>4</v>
      </c>
      <c r="AJ81">
        <v>4</v>
      </c>
      <c r="AK81">
        <v>1</v>
      </c>
      <c r="AM81" t="s">
        <v>19</v>
      </c>
      <c r="AN81" t="s">
        <v>254</v>
      </c>
      <c r="AO81">
        <v>36400000</v>
      </c>
      <c r="AQ81">
        <v>0</v>
      </c>
      <c r="AR81" t="s">
        <v>754</v>
      </c>
      <c r="AS81">
        <v>80</v>
      </c>
      <c r="AT81">
        <v>67</v>
      </c>
      <c r="AU81">
        <v>75</v>
      </c>
      <c r="AV81">
        <v>81</v>
      </c>
      <c r="AW81">
        <v>66</v>
      </c>
      <c r="AX81">
        <v>63</v>
      </c>
      <c r="AY81">
        <v>80</v>
      </c>
      <c r="AZ81">
        <v>68</v>
      </c>
      <c r="BA81">
        <v>45</v>
      </c>
      <c r="BB81">
        <v>77</v>
      </c>
      <c r="BC81">
        <v>65</v>
      </c>
      <c r="BD81">
        <v>81</v>
      </c>
      <c r="BE81">
        <v>76</v>
      </c>
      <c r="BF81">
        <v>67</v>
      </c>
      <c r="BG81">
        <v>70</v>
      </c>
      <c r="BH81">
        <v>81</v>
      </c>
      <c r="BI81">
        <v>83</v>
      </c>
      <c r="BJ81">
        <v>77</v>
      </c>
      <c r="BK81">
        <v>86</v>
      </c>
      <c r="BL81">
        <v>79</v>
      </c>
      <c r="BM81">
        <v>78</v>
      </c>
      <c r="BN81">
        <v>64</v>
      </c>
      <c r="BO81">
        <v>63</v>
      </c>
      <c r="BP81">
        <v>77</v>
      </c>
      <c r="BQ81">
        <v>54</v>
      </c>
      <c r="BR81">
        <v>74</v>
      </c>
      <c r="BS81">
        <v>69</v>
      </c>
      <c r="BT81">
        <v>67</v>
      </c>
      <c r="BU81">
        <v>75</v>
      </c>
      <c r="BV81">
        <v>71</v>
      </c>
      <c r="BW81">
        <v>44</v>
      </c>
      <c r="BX81">
        <v>74</v>
      </c>
      <c r="BY81">
        <v>69</v>
      </c>
      <c r="BZ81">
        <v>69</v>
      </c>
      <c r="CA81">
        <v>66</v>
      </c>
      <c r="CB81">
        <v>9</v>
      </c>
      <c r="CC81">
        <v>6</v>
      </c>
      <c r="CD81">
        <v>9</v>
      </c>
      <c r="CE81">
        <v>12</v>
      </c>
      <c r="CF81">
        <v>12</v>
      </c>
      <c r="CH81" t="s">
        <v>59</v>
      </c>
      <c r="CI81" t="s">
        <v>59</v>
      </c>
      <c r="CJ81" t="s">
        <v>59</v>
      </c>
      <c r="CK81" t="s">
        <v>66</v>
      </c>
      <c r="CL81" t="s">
        <v>97</v>
      </c>
      <c r="CM81" t="s">
        <v>97</v>
      </c>
      <c r="CN81" t="s">
        <v>97</v>
      </c>
      <c r="CO81" t="s">
        <v>66</v>
      </c>
      <c r="CP81" t="s">
        <v>81</v>
      </c>
      <c r="CQ81" t="s">
        <v>81</v>
      </c>
      <c r="CR81" t="s">
        <v>81</v>
      </c>
      <c r="CS81" t="s">
        <v>62</v>
      </c>
      <c r="CT81" t="s">
        <v>64</v>
      </c>
      <c r="CU81" t="s">
        <v>64</v>
      </c>
      <c r="CV81" t="s">
        <v>64</v>
      </c>
      <c r="CW81" t="s">
        <v>62</v>
      </c>
      <c r="CX81" t="s">
        <v>64</v>
      </c>
      <c r="CY81" t="s">
        <v>61</v>
      </c>
      <c r="CZ81" t="s">
        <v>61</v>
      </c>
      <c r="DA81" t="s">
        <v>61</v>
      </c>
      <c r="DB81" t="s">
        <v>64</v>
      </c>
      <c r="DC81" t="s">
        <v>61</v>
      </c>
      <c r="DD81" t="s">
        <v>78</v>
      </c>
      <c r="DE81" t="s">
        <v>78</v>
      </c>
      <c r="DF81" t="s">
        <v>78</v>
      </c>
      <c r="DG81" t="s">
        <v>61</v>
      </c>
      <c r="DH81" t="s">
        <v>75</v>
      </c>
      <c r="DI8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12.260375600000001</v>
      </c>
      <c r="DJ81" t="s">
        <v>755</v>
      </c>
      <c r="DK81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2.7317135222265621</v>
      </c>
      <c r="DL81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12.318448125474672</v>
      </c>
    </row>
    <row r="82" spans="1:116" x14ac:dyDescent="0.2">
      <c r="A82">
        <v>268804</v>
      </c>
      <c r="B82" t="s">
        <v>756</v>
      </c>
      <c r="C82">
        <v>26</v>
      </c>
      <c r="D82">
        <v>4</v>
      </c>
      <c r="E82" s="1">
        <v>45919</v>
      </c>
      <c r="F82" t="s">
        <v>757</v>
      </c>
      <c r="G82">
        <v>1</v>
      </c>
      <c r="H82">
        <v>0</v>
      </c>
      <c r="I82" t="s">
        <v>758</v>
      </c>
      <c r="J82" t="s">
        <v>71</v>
      </c>
      <c r="K82">
        <v>79</v>
      </c>
      <c r="L82">
        <v>84</v>
      </c>
      <c r="M82">
        <v>24000000</v>
      </c>
      <c r="N82">
        <v>31000</v>
      </c>
      <c r="O82">
        <v>24</v>
      </c>
      <c r="P82" s="1">
        <v>36767</v>
      </c>
      <c r="Q82">
        <v>185</v>
      </c>
      <c r="R82">
        <v>80</v>
      </c>
      <c r="S82">
        <v>31</v>
      </c>
      <c r="T82" t="s">
        <v>250</v>
      </c>
      <c r="U82">
        <v>1</v>
      </c>
      <c r="V82">
        <v>46</v>
      </c>
      <c r="W82" t="s">
        <v>365</v>
      </c>
      <c r="X82" t="s">
        <v>47</v>
      </c>
      <c r="Y82">
        <v>34</v>
      </c>
      <c r="AA82" s="1">
        <v>44754</v>
      </c>
      <c r="AB82">
        <v>2027</v>
      </c>
      <c r="AC82">
        <v>45</v>
      </c>
      <c r="AD82" t="s">
        <v>349</v>
      </c>
      <c r="AH82" t="s">
        <v>2</v>
      </c>
      <c r="AI82">
        <v>4</v>
      </c>
      <c r="AJ82">
        <v>2</v>
      </c>
      <c r="AK82">
        <v>1</v>
      </c>
      <c r="AM82" t="s">
        <v>88</v>
      </c>
      <c r="AN82" t="s">
        <v>4</v>
      </c>
      <c r="AO82">
        <v>42600000</v>
      </c>
      <c r="AQ82">
        <v>0</v>
      </c>
      <c r="AR82" t="s">
        <v>759</v>
      </c>
      <c r="AS82">
        <v>85</v>
      </c>
      <c r="AT82">
        <v>53</v>
      </c>
      <c r="AU82">
        <v>67</v>
      </c>
      <c r="AV82">
        <v>75</v>
      </c>
      <c r="AW82">
        <v>80</v>
      </c>
      <c r="AX82">
        <v>76</v>
      </c>
      <c r="AY82">
        <v>64</v>
      </c>
      <c r="AZ82">
        <v>48</v>
      </c>
      <c r="BA82">
        <v>79</v>
      </c>
      <c r="BB82">
        <v>74</v>
      </c>
      <c r="BC82">
        <v>51</v>
      </c>
      <c r="BD82">
        <v>72</v>
      </c>
      <c r="BE82">
        <v>64</v>
      </c>
      <c r="BF82">
        <v>48</v>
      </c>
      <c r="BG82">
        <v>66</v>
      </c>
      <c r="BH82">
        <v>78</v>
      </c>
      <c r="BI82">
        <v>83</v>
      </c>
      <c r="BJ82">
        <v>87</v>
      </c>
      <c r="BK82">
        <v>74</v>
      </c>
      <c r="BL82">
        <v>79</v>
      </c>
      <c r="BM82">
        <v>72</v>
      </c>
      <c r="BN82">
        <v>68</v>
      </c>
      <c r="BO82">
        <v>88</v>
      </c>
      <c r="BP82">
        <v>82</v>
      </c>
      <c r="BQ82">
        <v>71</v>
      </c>
      <c r="BR82">
        <v>56</v>
      </c>
      <c r="BS82">
        <v>76</v>
      </c>
      <c r="BT82">
        <v>81</v>
      </c>
      <c r="BU82">
        <v>42</v>
      </c>
      <c r="BV82">
        <v>62</v>
      </c>
      <c r="BW82">
        <v>38</v>
      </c>
      <c r="BX82">
        <v>76</v>
      </c>
      <c r="BY82">
        <v>81</v>
      </c>
      <c r="BZ82">
        <v>78</v>
      </c>
      <c r="CA82">
        <v>80</v>
      </c>
      <c r="CB82">
        <v>14</v>
      </c>
      <c r="CC82">
        <v>10</v>
      </c>
      <c r="CD82">
        <v>10</v>
      </c>
      <c r="CE82">
        <v>6</v>
      </c>
      <c r="CF82">
        <v>14</v>
      </c>
      <c r="CH82" t="s">
        <v>78</v>
      </c>
      <c r="CI82" t="s">
        <v>78</v>
      </c>
      <c r="CJ82" t="s">
        <v>78</v>
      </c>
      <c r="CK82" t="s">
        <v>58</v>
      </c>
      <c r="CL82" t="s">
        <v>120</v>
      </c>
      <c r="CM82" t="s">
        <v>120</v>
      </c>
      <c r="CN82" t="s">
        <v>120</v>
      </c>
      <c r="CO82" t="s">
        <v>58</v>
      </c>
      <c r="CP82" t="s">
        <v>89</v>
      </c>
      <c r="CQ82" t="s">
        <v>89</v>
      </c>
      <c r="CR82" t="s">
        <v>89</v>
      </c>
      <c r="CS82" t="s">
        <v>59</v>
      </c>
      <c r="CT82" t="s">
        <v>59</v>
      </c>
      <c r="CU82" t="s">
        <v>59</v>
      </c>
      <c r="CV82" t="s">
        <v>59</v>
      </c>
      <c r="CW82" t="s">
        <v>59</v>
      </c>
      <c r="CX82" t="s">
        <v>62</v>
      </c>
      <c r="CY82" t="s">
        <v>63</v>
      </c>
      <c r="CZ82" t="s">
        <v>63</v>
      </c>
      <c r="DA82" t="s">
        <v>63</v>
      </c>
      <c r="DB82" t="s">
        <v>62</v>
      </c>
      <c r="DC82" t="s">
        <v>26</v>
      </c>
      <c r="DD82" t="s">
        <v>26</v>
      </c>
      <c r="DE82" t="s">
        <v>26</v>
      </c>
      <c r="DF82" t="s">
        <v>26</v>
      </c>
      <c r="DG82" t="s">
        <v>26</v>
      </c>
      <c r="DH82" t="s">
        <v>70</v>
      </c>
      <c r="DI8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13.638131200000002</v>
      </c>
      <c r="DJ82" t="s">
        <v>760</v>
      </c>
      <c r="DK82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2.3320955225</v>
      </c>
      <c r="DL82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13.810381681007707</v>
      </c>
    </row>
    <row r="83" spans="1:116" x14ac:dyDescent="0.2">
      <c r="A83">
        <v>190813</v>
      </c>
      <c r="B83" t="s">
        <v>761</v>
      </c>
      <c r="C83">
        <v>26</v>
      </c>
      <c r="D83">
        <v>4</v>
      </c>
      <c r="E83" s="1">
        <v>45919</v>
      </c>
      <c r="F83" t="s">
        <v>762</v>
      </c>
      <c r="G83">
        <v>0</v>
      </c>
      <c r="H83">
        <v>0</v>
      </c>
      <c r="I83" t="s">
        <v>763</v>
      </c>
      <c r="J83" t="s">
        <v>764</v>
      </c>
      <c r="K83">
        <v>79</v>
      </c>
      <c r="L83">
        <v>79</v>
      </c>
      <c r="M83">
        <v>14000000</v>
      </c>
      <c r="N83">
        <v>59000</v>
      </c>
      <c r="O83">
        <v>32</v>
      </c>
      <c r="P83" s="1">
        <v>33904</v>
      </c>
      <c r="Q83">
        <v>178</v>
      </c>
      <c r="R83">
        <v>73</v>
      </c>
      <c r="S83">
        <v>31</v>
      </c>
      <c r="T83" t="s">
        <v>250</v>
      </c>
      <c r="U83">
        <v>1</v>
      </c>
      <c r="V83">
        <v>52</v>
      </c>
      <c r="W83" t="s">
        <v>313</v>
      </c>
      <c r="X83" t="s">
        <v>110</v>
      </c>
      <c r="Y83">
        <v>92</v>
      </c>
      <c r="AA83" s="1">
        <v>44226</v>
      </c>
      <c r="AB83">
        <v>2026</v>
      </c>
      <c r="AC83">
        <v>27</v>
      </c>
      <c r="AD83" t="s">
        <v>267</v>
      </c>
      <c r="AH83" t="s">
        <v>2</v>
      </c>
      <c r="AI83">
        <v>3</v>
      </c>
      <c r="AJ83">
        <v>4</v>
      </c>
      <c r="AK83">
        <v>3</v>
      </c>
      <c r="AM83" t="s">
        <v>19</v>
      </c>
      <c r="AN83" t="s">
        <v>254</v>
      </c>
      <c r="AO83">
        <v>23800000</v>
      </c>
      <c r="AP83" t="s">
        <v>5</v>
      </c>
      <c r="AQ83">
        <v>0</v>
      </c>
      <c r="AS83">
        <v>78</v>
      </c>
      <c r="AT83">
        <v>75</v>
      </c>
      <c r="AU83">
        <v>76</v>
      </c>
      <c r="AV83">
        <v>83</v>
      </c>
      <c r="AW83">
        <v>49</v>
      </c>
      <c r="AX83">
        <v>59</v>
      </c>
      <c r="AY83">
        <v>76</v>
      </c>
      <c r="AZ83">
        <v>72</v>
      </c>
      <c r="BA83">
        <v>65</v>
      </c>
      <c r="BB83">
        <v>77</v>
      </c>
      <c r="BC83">
        <v>85</v>
      </c>
      <c r="BD83">
        <v>83</v>
      </c>
      <c r="BE83">
        <v>85</v>
      </c>
      <c r="BF83">
        <v>72</v>
      </c>
      <c r="BG83">
        <v>70</v>
      </c>
      <c r="BH83">
        <v>83</v>
      </c>
      <c r="BI83">
        <v>81</v>
      </c>
      <c r="BJ83">
        <v>76</v>
      </c>
      <c r="BK83">
        <v>89</v>
      </c>
      <c r="BL83">
        <v>80</v>
      </c>
      <c r="BM83">
        <v>76</v>
      </c>
      <c r="BN83">
        <v>75</v>
      </c>
      <c r="BO83">
        <v>75</v>
      </c>
      <c r="BP83">
        <v>61</v>
      </c>
      <c r="BQ83">
        <v>60</v>
      </c>
      <c r="BR83">
        <v>78</v>
      </c>
      <c r="BS83">
        <v>51</v>
      </c>
      <c r="BT83">
        <v>36</v>
      </c>
      <c r="BU83">
        <v>76</v>
      </c>
      <c r="BV83">
        <v>78</v>
      </c>
      <c r="BW83">
        <v>72</v>
      </c>
      <c r="BX83">
        <v>77</v>
      </c>
      <c r="BY83">
        <v>65</v>
      </c>
      <c r="BZ83">
        <v>42</v>
      </c>
      <c r="CA83">
        <v>35</v>
      </c>
      <c r="CB83">
        <v>5</v>
      </c>
      <c r="CC83">
        <v>3</v>
      </c>
      <c r="CD83">
        <v>5</v>
      </c>
      <c r="CE83">
        <v>5</v>
      </c>
      <c r="CF83">
        <v>3</v>
      </c>
      <c r="CH83" t="s">
        <v>25</v>
      </c>
      <c r="CI83" t="s">
        <v>25</v>
      </c>
      <c r="CJ83" t="s">
        <v>25</v>
      </c>
      <c r="CK83" t="s">
        <v>44</v>
      </c>
      <c r="CL83" t="s">
        <v>66</v>
      </c>
      <c r="CM83" t="s">
        <v>66</v>
      </c>
      <c r="CN83" t="s">
        <v>66</v>
      </c>
      <c r="CO83" t="s">
        <v>44</v>
      </c>
      <c r="CP83" t="s">
        <v>44</v>
      </c>
      <c r="CQ83" t="s">
        <v>44</v>
      </c>
      <c r="CR83" t="s">
        <v>44</v>
      </c>
      <c r="CS83" t="s">
        <v>80</v>
      </c>
      <c r="CT83" t="s">
        <v>29</v>
      </c>
      <c r="CU83" t="s">
        <v>29</v>
      </c>
      <c r="CV83" t="s">
        <v>29</v>
      </c>
      <c r="CW83" t="s">
        <v>80</v>
      </c>
      <c r="CX83" t="s">
        <v>318</v>
      </c>
      <c r="CY83" t="s">
        <v>13</v>
      </c>
      <c r="CZ83" t="s">
        <v>13</v>
      </c>
      <c r="DA83" t="s">
        <v>13</v>
      </c>
      <c r="DB83" t="s">
        <v>318</v>
      </c>
      <c r="DC83" t="s">
        <v>39</v>
      </c>
      <c r="DD83" t="s">
        <v>452</v>
      </c>
      <c r="DE83" t="s">
        <v>452</v>
      </c>
      <c r="DF83" t="s">
        <v>452</v>
      </c>
      <c r="DG83" t="s">
        <v>39</v>
      </c>
      <c r="DH83" t="s">
        <v>669</v>
      </c>
      <c r="DI8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12.566716</v>
      </c>
      <c r="DJ83" t="s">
        <v>765</v>
      </c>
      <c r="DK83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2.9018834024999998</v>
      </c>
      <c r="DL83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12.674781443901265</v>
      </c>
    </row>
    <row r="84" spans="1:116" x14ac:dyDescent="0.2">
      <c r="A84">
        <v>277954</v>
      </c>
      <c r="B84" t="s">
        <v>766</v>
      </c>
      <c r="C84">
        <v>26</v>
      </c>
      <c r="D84">
        <v>4</v>
      </c>
      <c r="E84" s="1">
        <v>45919</v>
      </c>
      <c r="F84" t="s">
        <v>767</v>
      </c>
      <c r="G84">
        <v>0</v>
      </c>
      <c r="H84">
        <v>0</v>
      </c>
      <c r="I84" t="s">
        <v>768</v>
      </c>
      <c r="J84" t="s">
        <v>65</v>
      </c>
      <c r="K84">
        <v>79</v>
      </c>
      <c r="L84">
        <v>89</v>
      </c>
      <c r="M84">
        <v>38500000</v>
      </c>
      <c r="N84">
        <v>80000</v>
      </c>
      <c r="O84">
        <v>20</v>
      </c>
      <c r="P84" s="1">
        <v>38476</v>
      </c>
      <c r="Q84">
        <v>185</v>
      </c>
      <c r="R84">
        <v>75</v>
      </c>
      <c r="S84">
        <v>31</v>
      </c>
      <c r="T84" t="s">
        <v>250</v>
      </c>
      <c r="U84">
        <v>1</v>
      </c>
      <c r="V84">
        <v>45</v>
      </c>
      <c r="W84" t="s">
        <v>345</v>
      </c>
      <c r="X84" t="s">
        <v>314</v>
      </c>
      <c r="Y84">
        <v>10</v>
      </c>
      <c r="AA84" s="1">
        <v>44998</v>
      </c>
      <c r="AB84">
        <v>2029</v>
      </c>
      <c r="AC84">
        <v>48</v>
      </c>
      <c r="AD84" t="s">
        <v>302</v>
      </c>
      <c r="AH84" t="s">
        <v>2</v>
      </c>
      <c r="AI84">
        <v>5</v>
      </c>
      <c r="AJ84">
        <v>4</v>
      </c>
      <c r="AK84">
        <v>1</v>
      </c>
      <c r="AM84" t="s">
        <v>88</v>
      </c>
      <c r="AN84" t="s">
        <v>254</v>
      </c>
      <c r="AO84">
        <v>73200000</v>
      </c>
      <c r="AQ84">
        <v>0</v>
      </c>
      <c r="AR84" t="s">
        <v>769</v>
      </c>
      <c r="AS84">
        <v>84</v>
      </c>
      <c r="AT84">
        <v>78</v>
      </c>
      <c r="AU84">
        <v>74</v>
      </c>
      <c r="AV84">
        <v>83</v>
      </c>
      <c r="AW84">
        <v>35</v>
      </c>
      <c r="AX84">
        <v>66</v>
      </c>
      <c r="AY84">
        <v>74</v>
      </c>
      <c r="AZ84">
        <v>78</v>
      </c>
      <c r="BA84">
        <v>69</v>
      </c>
      <c r="BB84">
        <v>75</v>
      </c>
      <c r="BC84">
        <v>78</v>
      </c>
      <c r="BD84">
        <v>85</v>
      </c>
      <c r="BE84">
        <v>80</v>
      </c>
      <c r="BF84">
        <v>67</v>
      </c>
      <c r="BG84">
        <v>70</v>
      </c>
      <c r="BH84">
        <v>85</v>
      </c>
      <c r="BI84">
        <v>85</v>
      </c>
      <c r="BJ84">
        <v>84</v>
      </c>
      <c r="BK84">
        <v>83</v>
      </c>
      <c r="BL84">
        <v>72</v>
      </c>
      <c r="BM84">
        <v>74</v>
      </c>
      <c r="BN84">
        <v>79</v>
      </c>
      <c r="BO84">
        <v>80</v>
      </c>
      <c r="BP84">
        <v>72</v>
      </c>
      <c r="BQ84">
        <v>67</v>
      </c>
      <c r="BR84">
        <v>79</v>
      </c>
      <c r="BS84">
        <v>50</v>
      </c>
      <c r="BT84">
        <v>35</v>
      </c>
      <c r="BU84">
        <v>78</v>
      </c>
      <c r="BV84">
        <v>77</v>
      </c>
      <c r="BW84">
        <v>70</v>
      </c>
      <c r="BX84">
        <v>75</v>
      </c>
      <c r="BY84">
        <v>32</v>
      </c>
      <c r="BZ84">
        <v>30</v>
      </c>
      <c r="CA84">
        <v>26</v>
      </c>
      <c r="CB84">
        <v>14</v>
      </c>
      <c r="CC84">
        <v>14</v>
      </c>
      <c r="CD84">
        <v>6</v>
      </c>
      <c r="CE84">
        <v>8</v>
      </c>
      <c r="CF84">
        <v>14</v>
      </c>
      <c r="CH84" t="s">
        <v>62</v>
      </c>
      <c r="CI84" t="s">
        <v>62</v>
      </c>
      <c r="CJ84" t="s">
        <v>62</v>
      </c>
      <c r="CK84" t="s">
        <v>35</v>
      </c>
      <c r="CL84" t="s">
        <v>35</v>
      </c>
      <c r="CM84" t="s">
        <v>35</v>
      </c>
      <c r="CN84" t="s">
        <v>35</v>
      </c>
      <c r="CO84" t="s">
        <v>35</v>
      </c>
      <c r="CP84" t="s">
        <v>26</v>
      </c>
      <c r="CQ84" t="s">
        <v>26</v>
      </c>
      <c r="CR84" t="s">
        <v>26</v>
      </c>
      <c r="CS84" t="s">
        <v>26</v>
      </c>
      <c r="CT84" t="s">
        <v>61</v>
      </c>
      <c r="CU84" t="s">
        <v>61</v>
      </c>
      <c r="CV84" t="s">
        <v>61</v>
      </c>
      <c r="CW84" t="s">
        <v>26</v>
      </c>
      <c r="CX84" t="s">
        <v>99</v>
      </c>
      <c r="CY84" t="s">
        <v>93</v>
      </c>
      <c r="CZ84" t="s">
        <v>93</v>
      </c>
      <c r="DA84" t="s">
        <v>93</v>
      </c>
      <c r="DB84" t="s">
        <v>99</v>
      </c>
      <c r="DC84" t="s">
        <v>93</v>
      </c>
      <c r="DD84" t="s">
        <v>109</v>
      </c>
      <c r="DE84" t="s">
        <v>109</v>
      </c>
      <c r="DF84" t="s">
        <v>109</v>
      </c>
      <c r="DG84" t="s">
        <v>93</v>
      </c>
      <c r="DH84" t="s">
        <v>84</v>
      </c>
      <c r="DI8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13.4847672</v>
      </c>
      <c r="DJ84" t="s">
        <v>770</v>
      </c>
      <c r="DK84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2.8137851187890628</v>
      </c>
      <c r="DL84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13.635629390818856</v>
      </c>
    </row>
    <row r="85" spans="1:116" x14ac:dyDescent="0.2">
      <c r="A85">
        <v>245152</v>
      </c>
      <c r="B85" t="s">
        <v>771</v>
      </c>
      <c r="C85">
        <v>26</v>
      </c>
      <c r="D85">
        <v>4</v>
      </c>
      <c r="E85" s="1">
        <v>45919</v>
      </c>
      <c r="F85" t="s">
        <v>772</v>
      </c>
      <c r="G85">
        <v>0</v>
      </c>
      <c r="H85">
        <v>0</v>
      </c>
      <c r="I85" t="s">
        <v>773</v>
      </c>
      <c r="J85" t="s">
        <v>34</v>
      </c>
      <c r="K85">
        <v>79</v>
      </c>
      <c r="L85">
        <v>84</v>
      </c>
      <c r="M85">
        <v>27000000</v>
      </c>
      <c r="N85">
        <v>48000</v>
      </c>
      <c r="O85">
        <v>24</v>
      </c>
      <c r="P85" s="1">
        <v>36999</v>
      </c>
      <c r="Q85">
        <v>183</v>
      </c>
      <c r="R85">
        <v>68</v>
      </c>
      <c r="S85">
        <v>31</v>
      </c>
      <c r="T85" t="s">
        <v>250</v>
      </c>
      <c r="U85">
        <v>1</v>
      </c>
      <c r="V85">
        <v>47</v>
      </c>
      <c r="W85" t="s">
        <v>295</v>
      </c>
      <c r="X85" t="s">
        <v>34</v>
      </c>
      <c r="Y85">
        <v>7</v>
      </c>
      <c r="AA85" s="1">
        <v>45691</v>
      </c>
      <c r="AB85">
        <v>2029</v>
      </c>
      <c r="AC85">
        <v>83</v>
      </c>
      <c r="AD85" t="s">
        <v>774</v>
      </c>
      <c r="AE85">
        <v>1386</v>
      </c>
      <c r="AF85" t="s">
        <v>110</v>
      </c>
      <c r="AG85">
        <v>11</v>
      </c>
      <c r="AH85" t="s">
        <v>18</v>
      </c>
      <c r="AI85">
        <v>4</v>
      </c>
      <c r="AJ85">
        <v>3</v>
      </c>
      <c r="AK85">
        <v>2</v>
      </c>
      <c r="AM85" t="s">
        <v>3</v>
      </c>
      <c r="AN85" t="s">
        <v>254</v>
      </c>
      <c r="AO85">
        <v>47900000</v>
      </c>
      <c r="AQ85">
        <v>0</v>
      </c>
      <c r="AR85" t="s">
        <v>42</v>
      </c>
      <c r="AS85">
        <v>78</v>
      </c>
      <c r="AT85">
        <v>80</v>
      </c>
      <c r="AU85">
        <v>70</v>
      </c>
      <c r="AV85">
        <v>77</v>
      </c>
      <c r="AW85">
        <v>46</v>
      </c>
      <c r="AX85">
        <v>69</v>
      </c>
      <c r="AY85">
        <v>64</v>
      </c>
      <c r="AZ85">
        <v>82</v>
      </c>
      <c r="BA85">
        <v>80</v>
      </c>
      <c r="BB85">
        <v>74</v>
      </c>
      <c r="BC85">
        <v>70</v>
      </c>
      <c r="BD85">
        <v>77</v>
      </c>
      <c r="BE85">
        <v>72</v>
      </c>
      <c r="BF85">
        <v>52</v>
      </c>
      <c r="BG85">
        <v>69</v>
      </c>
      <c r="BH85">
        <v>78</v>
      </c>
      <c r="BI85">
        <v>77</v>
      </c>
      <c r="BJ85">
        <v>79</v>
      </c>
      <c r="BK85">
        <v>75</v>
      </c>
      <c r="BL85">
        <v>75</v>
      </c>
      <c r="BM85">
        <v>71</v>
      </c>
      <c r="BN85">
        <v>83</v>
      </c>
      <c r="BO85">
        <v>77</v>
      </c>
      <c r="BP85">
        <v>64</v>
      </c>
      <c r="BQ85">
        <v>68</v>
      </c>
      <c r="BR85">
        <v>76</v>
      </c>
      <c r="BS85">
        <v>78</v>
      </c>
      <c r="BT85">
        <v>51</v>
      </c>
      <c r="BU85">
        <v>84</v>
      </c>
      <c r="BV85">
        <v>75</v>
      </c>
      <c r="BW85">
        <v>81</v>
      </c>
      <c r="BX85">
        <v>78</v>
      </c>
      <c r="BY85">
        <v>45</v>
      </c>
      <c r="BZ85">
        <v>39</v>
      </c>
      <c r="CA85">
        <v>22</v>
      </c>
      <c r="CB85">
        <v>6</v>
      </c>
      <c r="CC85">
        <v>14</v>
      </c>
      <c r="CD85">
        <v>12</v>
      </c>
      <c r="CE85">
        <v>6</v>
      </c>
      <c r="CF85">
        <v>10</v>
      </c>
      <c r="CH85" t="s">
        <v>26</v>
      </c>
      <c r="CI85" t="s">
        <v>26</v>
      </c>
      <c r="CJ85" t="s">
        <v>26</v>
      </c>
      <c r="CK85" t="s">
        <v>43</v>
      </c>
      <c r="CL85" t="s">
        <v>66</v>
      </c>
      <c r="CM85" t="s">
        <v>66</v>
      </c>
      <c r="CN85" t="s">
        <v>66</v>
      </c>
      <c r="CO85" t="s">
        <v>43</v>
      </c>
      <c r="CP85" t="s">
        <v>81</v>
      </c>
      <c r="CQ85" t="s">
        <v>81</v>
      </c>
      <c r="CR85" t="s">
        <v>81</v>
      </c>
      <c r="CS85" t="s">
        <v>64</v>
      </c>
      <c r="CT85" t="s">
        <v>61</v>
      </c>
      <c r="CU85" t="s">
        <v>61</v>
      </c>
      <c r="CV85" t="s">
        <v>61</v>
      </c>
      <c r="CW85" t="s">
        <v>64</v>
      </c>
      <c r="CX85" t="s">
        <v>106</v>
      </c>
      <c r="CY85" t="s">
        <v>74</v>
      </c>
      <c r="CZ85" t="s">
        <v>74</v>
      </c>
      <c r="DA85" t="s">
        <v>74</v>
      </c>
      <c r="DB85" t="s">
        <v>106</v>
      </c>
      <c r="DC85" t="s">
        <v>68</v>
      </c>
      <c r="DD85" t="s">
        <v>93</v>
      </c>
      <c r="DE85" t="s">
        <v>93</v>
      </c>
      <c r="DF85" t="s">
        <v>93</v>
      </c>
      <c r="DG85" t="s">
        <v>68</v>
      </c>
      <c r="DH85" t="s">
        <v>128</v>
      </c>
      <c r="DI8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12.827178999999999</v>
      </c>
      <c r="DJ85" t="s">
        <v>775</v>
      </c>
      <c r="DK85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2.6340043164062501</v>
      </c>
      <c r="DL85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12.888883121346229</v>
      </c>
    </row>
    <row r="86" spans="1:116" x14ac:dyDescent="0.2">
      <c r="A86">
        <v>229906</v>
      </c>
      <c r="B86" t="s">
        <v>776</v>
      </c>
      <c r="C86">
        <v>26</v>
      </c>
      <c r="D86">
        <v>4</v>
      </c>
      <c r="E86" s="1">
        <v>45919</v>
      </c>
      <c r="F86" t="s">
        <v>777</v>
      </c>
      <c r="G86">
        <v>0</v>
      </c>
      <c r="H86">
        <v>0</v>
      </c>
      <c r="I86" t="s">
        <v>778</v>
      </c>
      <c r="J86" t="s">
        <v>95</v>
      </c>
      <c r="K86">
        <v>79</v>
      </c>
      <c r="L86">
        <v>79</v>
      </c>
      <c r="M86">
        <v>18500000</v>
      </c>
      <c r="N86">
        <v>100000</v>
      </c>
      <c r="O86">
        <v>27</v>
      </c>
      <c r="P86" s="1">
        <v>35651</v>
      </c>
      <c r="Q86">
        <v>178</v>
      </c>
      <c r="R86">
        <v>77</v>
      </c>
      <c r="S86">
        <v>31</v>
      </c>
      <c r="T86" t="s">
        <v>250</v>
      </c>
      <c r="U86">
        <v>1</v>
      </c>
      <c r="V86">
        <v>52</v>
      </c>
      <c r="W86" t="s">
        <v>313</v>
      </c>
      <c r="X86" t="s">
        <v>381</v>
      </c>
      <c r="Y86">
        <v>31</v>
      </c>
      <c r="Z86" t="s">
        <v>779</v>
      </c>
      <c r="AB86">
        <v>2026</v>
      </c>
      <c r="AC86">
        <v>82</v>
      </c>
      <c r="AD86" t="s">
        <v>780</v>
      </c>
      <c r="AH86" t="s">
        <v>18</v>
      </c>
      <c r="AI86">
        <v>2</v>
      </c>
      <c r="AJ86">
        <v>4</v>
      </c>
      <c r="AK86">
        <v>3</v>
      </c>
      <c r="AM86" t="s">
        <v>3</v>
      </c>
      <c r="AN86" t="s">
        <v>254</v>
      </c>
      <c r="AP86" t="s">
        <v>5</v>
      </c>
      <c r="AQ86">
        <v>0</v>
      </c>
      <c r="AR86" t="s">
        <v>781</v>
      </c>
      <c r="AS86">
        <v>87</v>
      </c>
      <c r="AT86">
        <v>74</v>
      </c>
      <c r="AU86">
        <v>73</v>
      </c>
      <c r="AV86">
        <v>84</v>
      </c>
      <c r="AW86">
        <v>38</v>
      </c>
      <c r="AX86">
        <v>61</v>
      </c>
      <c r="AY86">
        <v>75</v>
      </c>
      <c r="AZ86">
        <v>76</v>
      </c>
      <c r="BA86">
        <v>57</v>
      </c>
      <c r="BB86">
        <v>75</v>
      </c>
      <c r="BC86">
        <v>73</v>
      </c>
      <c r="BD86">
        <v>85</v>
      </c>
      <c r="BE86">
        <v>76</v>
      </c>
      <c r="BF86">
        <v>72</v>
      </c>
      <c r="BG86">
        <v>65</v>
      </c>
      <c r="BH86">
        <v>81</v>
      </c>
      <c r="BI86">
        <v>91</v>
      </c>
      <c r="BJ86">
        <v>84</v>
      </c>
      <c r="BK86">
        <v>91</v>
      </c>
      <c r="BL86">
        <v>77</v>
      </c>
      <c r="BM86">
        <v>88</v>
      </c>
      <c r="BN86">
        <v>72</v>
      </c>
      <c r="BO86">
        <v>75</v>
      </c>
      <c r="BP86">
        <v>64</v>
      </c>
      <c r="BQ86">
        <v>61</v>
      </c>
      <c r="BR86">
        <v>74</v>
      </c>
      <c r="BS86">
        <v>55</v>
      </c>
      <c r="BT86">
        <v>28</v>
      </c>
      <c r="BU86">
        <v>76</v>
      </c>
      <c r="BV86">
        <v>75</v>
      </c>
      <c r="BW86">
        <v>71</v>
      </c>
      <c r="BX86">
        <v>73</v>
      </c>
      <c r="BY86">
        <v>45</v>
      </c>
      <c r="BZ86">
        <v>34</v>
      </c>
      <c r="CA86">
        <v>29</v>
      </c>
      <c r="CB86">
        <v>12</v>
      </c>
      <c r="CC86">
        <v>13</v>
      </c>
      <c r="CD86">
        <v>6</v>
      </c>
      <c r="CE86">
        <v>15</v>
      </c>
      <c r="CF86">
        <v>14</v>
      </c>
      <c r="CH86" t="s">
        <v>25</v>
      </c>
      <c r="CI86" t="s">
        <v>25</v>
      </c>
      <c r="CJ86" t="s">
        <v>25</v>
      </c>
      <c r="CK86" t="s">
        <v>87</v>
      </c>
      <c r="CL86" t="s">
        <v>66</v>
      </c>
      <c r="CM86" t="s">
        <v>66</v>
      </c>
      <c r="CN86" t="s">
        <v>66</v>
      </c>
      <c r="CO86" t="s">
        <v>87</v>
      </c>
      <c r="CP86" t="s">
        <v>80</v>
      </c>
      <c r="CQ86" t="s">
        <v>80</v>
      </c>
      <c r="CR86" t="s">
        <v>80</v>
      </c>
      <c r="CS86" t="s">
        <v>80</v>
      </c>
      <c r="CT86" t="s">
        <v>290</v>
      </c>
      <c r="CU86" t="s">
        <v>290</v>
      </c>
      <c r="CV86" t="s">
        <v>290</v>
      </c>
      <c r="CW86" t="s">
        <v>80</v>
      </c>
      <c r="CX86" t="s">
        <v>39</v>
      </c>
      <c r="CY86" t="s">
        <v>376</v>
      </c>
      <c r="CZ86" t="s">
        <v>376</v>
      </c>
      <c r="DA86" t="s">
        <v>376</v>
      </c>
      <c r="DB86" t="s">
        <v>39</v>
      </c>
      <c r="DC86" t="s">
        <v>376</v>
      </c>
      <c r="DD86" t="s">
        <v>403</v>
      </c>
      <c r="DE86" t="s">
        <v>403</v>
      </c>
      <c r="DF86" t="s">
        <v>403</v>
      </c>
      <c r="DG86" t="s">
        <v>376</v>
      </c>
      <c r="DH86" t="s">
        <v>32</v>
      </c>
      <c r="DI8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12.726456199999999</v>
      </c>
      <c r="DJ86" t="s">
        <v>782</v>
      </c>
      <c r="DK86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2.7345050634765622</v>
      </c>
      <c r="DL86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12.802813185425386</v>
      </c>
    </row>
    <row r="87" spans="1:116" x14ac:dyDescent="0.2">
      <c r="A87">
        <v>207993</v>
      </c>
      <c r="B87" t="s">
        <v>783</v>
      </c>
      <c r="C87">
        <v>26</v>
      </c>
      <c r="D87">
        <v>4</v>
      </c>
      <c r="E87" s="1">
        <v>45919</v>
      </c>
      <c r="F87" t="s">
        <v>784</v>
      </c>
      <c r="G87">
        <v>1</v>
      </c>
      <c r="H87">
        <v>0</v>
      </c>
      <c r="I87" t="s">
        <v>785</v>
      </c>
      <c r="J87" t="s">
        <v>71</v>
      </c>
      <c r="K87">
        <v>79</v>
      </c>
      <c r="L87">
        <v>79</v>
      </c>
      <c r="M87">
        <v>11500000</v>
      </c>
      <c r="N87">
        <v>66000</v>
      </c>
      <c r="O87">
        <v>32</v>
      </c>
      <c r="P87" s="1">
        <v>34140</v>
      </c>
      <c r="Q87">
        <v>183</v>
      </c>
      <c r="R87">
        <v>85</v>
      </c>
      <c r="S87">
        <v>31</v>
      </c>
      <c r="T87" t="s">
        <v>250</v>
      </c>
      <c r="U87">
        <v>1</v>
      </c>
      <c r="V87">
        <v>39</v>
      </c>
      <c r="W87" t="s">
        <v>396</v>
      </c>
      <c r="X87" t="s">
        <v>110</v>
      </c>
      <c r="Y87">
        <v>23</v>
      </c>
      <c r="AA87" s="1">
        <v>45113</v>
      </c>
      <c r="AB87">
        <v>2026</v>
      </c>
      <c r="AC87">
        <v>8</v>
      </c>
      <c r="AD87" t="s">
        <v>630</v>
      </c>
      <c r="AH87" t="s">
        <v>18</v>
      </c>
      <c r="AI87">
        <v>2</v>
      </c>
      <c r="AJ87">
        <v>2</v>
      </c>
      <c r="AK87">
        <v>2</v>
      </c>
      <c r="AM87" t="s">
        <v>72</v>
      </c>
      <c r="AN87" t="s">
        <v>254</v>
      </c>
      <c r="AO87">
        <v>19600000</v>
      </c>
      <c r="AQ87">
        <v>0</v>
      </c>
      <c r="AR87" t="s">
        <v>786</v>
      </c>
      <c r="AS87">
        <v>61</v>
      </c>
      <c r="AT87">
        <v>63</v>
      </c>
      <c r="AU87">
        <v>68</v>
      </c>
      <c r="AV87">
        <v>69</v>
      </c>
      <c r="AW87">
        <v>79</v>
      </c>
      <c r="AX87">
        <v>82</v>
      </c>
      <c r="AY87">
        <v>73</v>
      </c>
      <c r="AZ87">
        <v>60</v>
      </c>
      <c r="BA87">
        <v>76</v>
      </c>
      <c r="BB87">
        <v>74</v>
      </c>
      <c r="BC87">
        <v>55</v>
      </c>
      <c r="BD87">
        <v>67</v>
      </c>
      <c r="BE87">
        <v>61</v>
      </c>
      <c r="BF87">
        <v>42</v>
      </c>
      <c r="BG87">
        <v>63</v>
      </c>
      <c r="BH87">
        <v>74</v>
      </c>
      <c r="BI87">
        <v>54</v>
      </c>
      <c r="BJ87">
        <v>67</v>
      </c>
      <c r="BK87">
        <v>57</v>
      </c>
      <c r="BL87">
        <v>79</v>
      </c>
      <c r="BM87">
        <v>58</v>
      </c>
      <c r="BN87">
        <v>75</v>
      </c>
      <c r="BO87">
        <v>81</v>
      </c>
      <c r="BP87">
        <v>78</v>
      </c>
      <c r="BQ87">
        <v>83</v>
      </c>
      <c r="BR87">
        <v>58</v>
      </c>
      <c r="BS87">
        <v>84</v>
      </c>
      <c r="BT87">
        <v>78</v>
      </c>
      <c r="BU87">
        <v>69</v>
      </c>
      <c r="BV87">
        <v>65</v>
      </c>
      <c r="BW87">
        <v>54</v>
      </c>
      <c r="BX87">
        <v>72</v>
      </c>
      <c r="BY87">
        <v>80</v>
      </c>
      <c r="BZ87">
        <v>81</v>
      </c>
      <c r="CA87">
        <v>78</v>
      </c>
      <c r="CB87">
        <v>15</v>
      </c>
      <c r="CC87">
        <v>9</v>
      </c>
      <c r="CD87">
        <v>16</v>
      </c>
      <c r="CE87">
        <v>7</v>
      </c>
      <c r="CF87">
        <v>9</v>
      </c>
      <c r="CH87" t="s">
        <v>85</v>
      </c>
      <c r="CI87" t="s">
        <v>85</v>
      </c>
      <c r="CJ87" t="s">
        <v>85</v>
      </c>
      <c r="CK87" t="s">
        <v>58</v>
      </c>
      <c r="CL87" t="s">
        <v>79</v>
      </c>
      <c r="CM87" t="s">
        <v>79</v>
      </c>
      <c r="CN87" t="s">
        <v>79</v>
      </c>
      <c r="CO87" t="s">
        <v>58</v>
      </c>
      <c r="CP87" t="s">
        <v>89</v>
      </c>
      <c r="CQ87" t="s">
        <v>89</v>
      </c>
      <c r="CR87" t="s">
        <v>89</v>
      </c>
      <c r="CS87" t="s">
        <v>85</v>
      </c>
      <c r="CT87" t="s">
        <v>53</v>
      </c>
      <c r="CU87" t="s">
        <v>53</v>
      </c>
      <c r="CV87" t="s">
        <v>53</v>
      </c>
      <c r="CW87" t="s">
        <v>85</v>
      </c>
      <c r="CX87" t="s">
        <v>64</v>
      </c>
      <c r="CY87" t="s">
        <v>63</v>
      </c>
      <c r="CZ87" t="s">
        <v>63</v>
      </c>
      <c r="DA87" t="s">
        <v>63</v>
      </c>
      <c r="DB87" t="s">
        <v>64</v>
      </c>
      <c r="DC87" t="s">
        <v>63</v>
      </c>
      <c r="DD87" t="s">
        <v>44</v>
      </c>
      <c r="DE87" t="s">
        <v>44</v>
      </c>
      <c r="DF87" t="s">
        <v>44</v>
      </c>
      <c r="DG87" t="s">
        <v>63</v>
      </c>
      <c r="DH87" t="s">
        <v>70</v>
      </c>
      <c r="DI8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12.423750499999999</v>
      </c>
      <c r="DJ87" t="s">
        <v>787</v>
      </c>
      <c r="DK87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2.3698759619140626</v>
      </c>
      <c r="DL87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12.524152265017769</v>
      </c>
    </row>
    <row r="88" spans="1:116" x14ac:dyDescent="0.2">
      <c r="A88">
        <v>238004</v>
      </c>
      <c r="B88" t="s">
        <v>788</v>
      </c>
      <c r="C88">
        <v>26</v>
      </c>
      <c r="D88">
        <v>4</v>
      </c>
      <c r="E88" s="1">
        <v>45919</v>
      </c>
      <c r="F88" t="s">
        <v>789</v>
      </c>
      <c r="G88">
        <v>0</v>
      </c>
      <c r="H88">
        <v>0</v>
      </c>
      <c r="I88" t="s">
        <v>790</v>
      </c>
      <c r="J88" t="s">
        <v>132</v>
      </c>
      <c r="K88">
        <v>79</v>
      </c>
      <c r="L88">
        <v>79</v>
      </c>
      <c r="M88">
        <v>18000000</v>
      </c>
      <c r="N88">
        <v>60000</v>
      </c>
      <c r="O88">
        <v>28</v>
      </c>
      <c r="P88" s="1">
        <v>35596</v>
      </c>
      <c r="Q88">
        <v>178</v>
      </c>
      <c r="R88">
        <v>78</v>
      </c>
      <c r="S88">
        <v>31</v>
      </c>
      <c r="T88" t="s">
        <v>250</v>
      </c>
      <c r="U88">
        <v>1</v>
      </c>
      <c r="V88">
        <v>110374</v>
      </c>
      <c r="W88" t="s">
        <v>348</v>
      </c>
      <c r="X88" t="s">
        <v>0</v>
      </c>
      <c r="Y88">
        <v>10</v>
      </c>
      <c r="AA88" s="1">
        <v>45839</v>
      </c>
      <c r="AB88">
        <v>2029</v>
      </c>
      <c r="AC88">
        <v>24</v>
      </c>
      <c r="AD88" t="s">
        <v>791</v>
      </c>
      <c r="AE88">
        <v>1341</v>
      </c>
      <c r="AF88" t="s">
        <v>110</v>
      </c>
      <c r="AG88">
        <v>10</v>
      </c>
      <c r="AH88" t="s">
        <v>2</v>
      </c>
      <c r="AI88">
        <v>4</v>
      </c>
      <c r="AJ88">
        <v>3</v>
      </c>
      <c r="AK88">
        <v>1</v>
      </c>
      <c r="AM88" t="s">
        <v>19</v>
      </c>
      <c r="AN88" t="s">
        <v>254</v>
      </c>
      <c r="AO88">
        <v>30600000</v>
      </c>
      <c r="AQ88">
        <v>0</v>
      </c>
      <c r="AS88">
        <v>87</v>
      </c>
      <c r="AT88">
        <v>79</v>
      </c>
      <c r="AU88">
        <v>70</v>
      </c>
      <c r="AV88">
        <v>83</v>
      </c>
      <c r="AW88">
        <v>37</v>
      </c>
      <c r="AX88">
        <v>69</v>
      </c>
      <c r="AY88">
        <v>63</v>
      </c>
      <c r="AZ88">
        <v>81</v>
      </c>
      <c r="BA88">
        <v>72</v>
      </c>
      <c r="BB88">
        <v>75</v>
      </c>
      <c r="BC88">
        <v>70</v>
      </c>
      <c r="BD88">
        <v>84</v>
      </c>
      <c r="BE88">
        <v>74</v>
      </c>
      <c r="BF88">
        <v>63</v>
      </c>
      <c r="BG88">
        <v>64</v>
      </c>
      <c r="BH88">
        <v>83</v>
      </c>
      <c r="BI88">
        <v>86</v>
      </c>
      <c r="BJ88">
        <v>87</v>
      </c>
      <c r="BK88">
        <v>83</v>
      </c>
      <c r="BL88">
        <v>79</v>
      </c>
      <c r="BM88">
        <v>74</v>
      </c>
      <c r="BN88">
        <v>79</v>
      </c>
      <c r="BO88">
        <v>85</v>
      </c>
      <c r="BP88">
        <v>71</v>
      </c>
      <c r="BQ88">
        <v>71</v>
      </c>
      <c r="BR88">
        <v>75</v>
      </c>
      <c r="BS88">
        <v>55</v>
      </c>
      <c r="BT88">
        <v>29</v>
      </c>
      <c r="BU88">
        <v>75</v>
      </c>
      <c r="BV88">
        <v>73</v>
      </c>
      <c r="BW88">
        <v>80</v>
      </c>
      <c r="BX88">
        <v>80</v>
      </c>
      <c r="BY88">
        <v>25</v>
      </c>
      <c r="BZ88">
        <v>39</v>
      </c>
      <c r="CA88">
        <v>43</v>
      </c>
      <c r="CB88">
        <v>5</v>
      </c>
      <c r="CC88">
        <v>10</v>
      </c>
      <c r="CD88">
        <v>7</v>
      </c>
      <c r="CE88">
        <v>6</v>
      </c>
      <c r="CF88">
        <v>6</v>
      </c>
      <c r="CH88" t="s">
        <v>44</v>
      </c>
      <c r="CI88" t="s">
        <v>44</v>
      </c>
      <c r="CJ88" t="s">
        <v>44</v>
      </c>
      <c r="CK88" t="s">
        <v>44</v>
      </c>
      <c r="CL88" t="s">
        <v>87</v>
      </c>
      <c r="CM88" t="s">
        <v>87</v>
      </c>
      <c r="CN88" t="s">
        <v>87</v>
      </c>
      <c r="CO88" t="s">
        <v>44</v>
      </c>
      <c r="CP88" t="s">
        <v>80</v>
      </c>
      <c r="CQ88" t="s">
        <v>80</v>
      </c>
      <c r="CR88" t="s">
        <v>80</v>
      </c>
      <c r="CS88" t="s">
        <v>81</v>
      </c>
      <c r="CT88" t="s">
        <v>53</v>
      </c>
      <c r="CU88" t="s">
        <v>53</v>
      </c>
      <c r="CV88" t="s">
        <v>53</v>
      </c>
      <c r="CW88" t="s">
        <v>81</v>
      </c>
      <c r="CX88" t="s">
        <v>99</v>
      </c>
      <c r="CY88" t="s">
        <v>68</v>
      </c>
      <c r="CZ88" t="s">
        <v>68</v>
      </c>
      <c r="DA88" t="s">
        <v>68</v>
      </c>
      <c r="DB88" t="s">
        <v>99</v>
      </c>
      <c r="DC88" t="s">
        <v>111</v>
      </c>
      <c r="DD88" t="s">
        <v>69</v>
      </c>
      <c r="DE88" t="s">
        <v>69</v>
      </c>
      <c r="DF88" t="s">
        <v>69</v>
      </c>
      <c r="DG88" t="s">
        <v>111</v>
      </c>
      <c r="DH88" t="s">
        <v>86</v>
      </c>
      <c r="DI8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13.335744699999999</v>
      </c>
      <c r="DJ88" t="s">
        <v>792</v>
      </c>
      <c r="DK88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2.61252132515625</v>
      </c>
      <c r="DL88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13.469280261194367</v>
      </c>
    </row>
    <row r="89" spans="1:116" x14ac:dyDescent="0.2">
      <c r="A89">
        <v>205175</v>
      </c>
      <c r="B89" t="s">
        <v>793</v>
      </c>
      <c r="C89">
        <v>26</v>
      </c>
      <c r="D89">
        <v>4</v>
      </c>
      <c r="E89" s="1">
        <v>45919</v>
      </c>
      <c r="F89" t="s">
        <v>794</v>
      </c>
      <c r="G89">
        <v>0</v>
      </c>
      <c r="H89">
        <v>0</v>
      </c>
      <c r="I89" t="s">
        <v>795</v>
      </c>
      <c r="J89" t="s">
        <v>34</v>
      </c>
      <c r="K89">
        <v>79</v>
      </c>
      <c r="L89">
        <v>79</v>
      </c>
      <c r="M89">
        <v>15000000</v>
      </c>
      <c r="N89">
        <v>120000</v>
      </c>
      <c r="O89">
        <v>31</v>
      </c>
      <c r="P89" s="1">
        <v>34393</v>
      </c>
      <c r="Q89">
        <v>186</v>
      </c>
      <c r="R89">
        <v>80</v>
      </c>
      <c r="S89">
        <v>31</v>
      </c>
      <c r="T89" t="s">
        <v>250</v>
      </c>
      <c r="U89">
        <v>1</v>
      </c>
      <c r="V89">
        <v>45</v>
      </c>
      <c r="W89" t="s">
        <v>345</v>
      </c>
      <c r="X89" t="s">
        <v>381</v>
      </c>
      <c r="Y89">
        <v>14</v>
      </c>
      <c r="AA89" s="1">
        <v>45108</v>
      </c>
      <c r="AB89">
        <v>2027</v>
      </c>
      <c r="AC89">
        <v>37</v>
      </c>
      <c r="AD89" t="s">
        <v>658</v>
      </c>
      <c r="AH89" t="s">
        <v>18</v>
      </c>
      <c r="AI89">
        <v>3</v>
      </c>
      <c r="AJ89">
        <v>3</v>
      </c>
      <c r="AK89">
        <v>3</v>
      </c>
      <c r="AM89" t="s">
        <v>127</v>
      </c>
      <c r="AN89" t="s">
        <v>254</v>
      </c>
      <c r="AO89">
        <v>25500000</v>
      </c>
      <c r="AQ89">
        <v>0</v>
      </c>
      <c r="AR89" t="s">
        <v>796</v>
      </c>
      <c r="AS89">
        <v>50</v>
      </c>
      <c r="AT89">
        <v>82</v>
      </c>
      <c r="AU89">
        <v>72</v>
      </c>
      <c r="AV89">
        <v>77</v>
      </c>
      <c r="AW89">
        <v>40</v>
      </c>
      <c r="AX89">
        <v>67</v>
      </c>
      <c r="AY89">
        <v>63</v>
      </c>
      <c r="AZ89">
        <v>83</v>
      </c>
      <c r="BA89">
        <v>85</v>
      </c>
      <c r="BB89">
        <v>75</v>
      </c>
      <c r="BC89">
        <v>81</v>
      </c>
      <c r="BD89">
        <v>76</v>
      </c>
      <c r="BE89">
        <v>76</v>
      </c>
      <c r="BF89">
        <v>81</v>
      </c>
      <c r="BG89">
        <v>64</v>
      </c>
      <c r="BH89">
        <v>83</v>
      </c>
      <c r="BI89">
        <v>48</v>
      </c>
      <c r="BJ89">
        <v>52</v>
      </c>
      <c r="BK89">
        <v>69</v>
      </c>
      <c r="BL89">
        <v>78</v>
      </c>
      <c r="BM89">
        <v>62</v>
      </c>
      <c r="BN89">
        <v>84</v>
      </c>
      <c r="BO89">
        <v>80</v>
      </c>
      <c r="BP89">
        <v>45</v>
      </c>
      <c r="BQ89">
        <v>76</v>
      </c>
      <c r="BR89">
        <v>78</v>
      </c>
      <c r="BS89">
        <v>67</v>
      </c>
      <c r="BT89">
        <v>36</v>
      </c>
      <c r="BU89">
        <v>83</v>
      </c>
      <c r="BV89">
        <v>78</v>
      </c>
      <c r="BW89">
        <v>79</v>
      </c>
      <c r="BX89">
        <v>84</v>
      </c>
      <c r="BY89">
        <v>35</v>
      </c>
      <c r="BZ89">
        <v>34</v>
      </c>
      <c r="CA89">
        <v>32</v>
      </c>
      <c r="CB89">
        <v>9</v>
      </c>
      <c r="CC89">
        <v>16</v>
      </c>
      <c r="CD89">
        <v>16</v>
      </c>
      <c r="CE89">
        <v>15</v>
      </c>
      <c r="CF89">
        <v>6</v>
      </c>
      <c r="CH89" t="s">
        <v>44</v>
      </c>
      <c r="CI89" t="s">
        <v>44</v>
      </c>
      <c r="CJ89" t="s">
        <v>44</v>
      </c>
      <c r="CK89" t="s">
        <v>21</v>
      </c>
      <c r="CL89" t="s">
        <v>43</v>
      </c>
      <c r="CM89" t="s">
        <v>43</v>
      </c>
      <c r="CN89" t="s">
        <v>43</v>
      </c>
      <c r="CO89" t="s">
        <v>21</v>
      </c>
      <c r="CP89" t="s">
        <v>24</v>
      </c>
      <c r="CQ89" t="s">
        <v>24</v>
      </c>
      <c r="CR89" t="s">
        <v>24</v>
      </c>
      <c r="CS89" t="s">
        <v>354</v>
      </c>
      <c r="CT89" t="s">
        <v>290</v>
      </c>
      <c r="CU89" t="s">
        <v>290</v>
      </c>
      <c r="CV89" t="s">
        <v>290</v>
      </c>
      <c r="CW89" t="s">
        <v>354</v>
      </c>
      <c r="CX89" t="s">
        <v>465</v>
      </c>
      <c r="CY89" t="s">
        <v>402</v>
      </c>
      <c r="CZ89" t="s">
        <v>402</v>
      </c>
      <c r="DA89" t="s">
        <v>402</v>
      </c>
      <c r="DB89" t="s">
        <v>465</v>
      </c>
      <c r="DC89" t="s">
        <v>14</v>
      </c>
      <c r="DD89" t="s">
        <v>465</v>
      </c>
      <c r="DE89" t="s">
        <v>465</v>
      </c>
      <c r="DF89" t="s">
        <v>465</v>
      </c>
      <c r="DG89" t="s">
        <v>14</v>
      </c>
      <c r="DH89" t="s">
        <v>27</v>
      </c>
      <c r="DI8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11.642579499999998</v>
      </c>
      <c r="DJ89" t="s">
        <v>797</v>
      </c>
      <c r="DK89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2.736561</v>
      </c>
      <c r="DL89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11.762360818906998</v>
      </c>
    </row>
    <row r="90" spans="1:116" x14ac:dyDescent="0.2">
      <c r="A90">
        <v>277846</v>
      </c>
      <c r="B90" t="s">
        <v>798</v>
      </c>
      <c r="C90">
        <v>26</v>
      </c>
      <c r="D90">
        <v>4</v>
      </c>
      <c r="E90" s="1">
        <v>45919</v>
      </c>
      <c r="F90" t="s">
        <v>799</v>
      </c>
      <c r="G90">
        <v>0</v>
      </c>
      <c r="H90">
        <v>1</v>
      </c>
      <c r="I90" t="s">
        <v>800</v>
      </c>
      <c r="J90" t="s">
        <v>115</v>
      </c>
      <c r="K90">
        <v>79</v>
      </c>
      <c r="L90">
        <v>89</v>
      </c>
      <c r="M90">
        <v>38500000</v>
      </c>
      <c r="N90">
        <v>67000</v>
      </c>
      <c r="O90">
        <v>20</v>
      </c>
      <c r="P90" s="1">
        <v>38238</v>
      </c>
      <c r="Q90">
        <v>186</v>
      </c>
      <c r="R90">
        <v>81</v>
      </c>
      <c r="S90">
        <v>31</v>
      </c>
      <c r="T90" t="s">
        <v>250</v>
      </c>
      <c r="U90">
        <v>1</v>
      </c>
      <c r="V90">
        <v>1745</v>
      </c>
      <c r="W90" t="s">
        <v>617</v>
      </c>
      <c r="X90" t="s">
        <v>0</v>
      </c>
      <c r="Y90">
        <v>10</v>
      </c>
      <c r="AA90" s="1">
        <v>45530</v>
      </c>
      <c r="AB90">
        <v>2028</v>
      </c>
      <c r="AC90">
        <v>52</v>
      </c>
      <c r="AD90" t="s">
        <v>252</v>
      </c>
      <c r="AH90" t="s">
        <v>18</v>
      </c>
      <c r="AI90">
        <v>3</v>
      </c>
      <c r="AJ90">
        <v>4</v>
      </c>
      <c r="AK90">
        <v>1</v>
      </c>
      <c r="AM90" t="s">
        <v>88</v>
      </c>
      <c r="AN90" t="s">
        <v>254</v>
      </c>
      <c r="AO90">
        <v>73200000</v>
      </c>
      <c r="AQ90">
        <v>1</v>
      </c>
      <c r="AR90" t="s">
        <v>801</v>
      </c>
      <c r="AS90">
        <v>78</v>
      </c>
      <c r="AT90">
        <v>71</v>
      </c>
      <c r="AU90">
        <v>77</v>
      </c>
      <c r="AV90">
        <v>82</v>
      </c>
      <c r="AW90">
        <v>51</v>
      </c>
      <c r="AX90">
        <v>64</v>
      </c>
      <c r="AY90">
        <v>67</v>
      </c>
      <c r="AZ90">
        <v>76</v>
      </c>
      <c r="BA90">
        <v>48</v>
      </c>
      <c r="BB90">
        <v>84</v>
      </c>
      <c r="BC90">
        <v>51</v>
      </c>
      <c r="BD90">
        <v>85</v>
      </c>
      <c r="BE90">
        <v>64</v>
      </c>
      <c r="BF90">
        <v>67</v>
      </c>
      <c r="BG90">
        <v>79</v>
      </c>
      <c r="BH90">
        <v>85</v>
      </c>
      <c r="BI90">
        <v>76</v>
      </c>
      <c r="BJ90">
        <v>79</v>
      </c>
      <c r="BK90">
        <v>78</v>
      </c>
      <c r="BL90">
        <v>68</v>
      </c>
      <c r="BM90">
        <v>61</v>
      </c>
      <c r="BN90">
        <v>64</v>
      </c>
      <c r="BO90">
        <v>67</v>
      </c>
      <c r="BP90">
        <v>75</v>
      </c>
      <c r="BQ90">
        <v>66</v>
      </c>
      <c r="BR90">
        <v>78</v>
      </c>
      <c r="BS90">
        <v>42</v>
      </c>
      <c r="BT90">
        <v>58</v>
      </c>
      <c r="BU90">
        <v>71</v>
      </c>
      <c r="BV90">
        <v>78</v>
      </c>
      <c r="BW90">
        <v>53</v>
      </c>
      <c r="BX90">
        <v>73</v>
      </c>
      <c r="BY90">
        <v>35</v>
      </c>
      <c r="BZ90">
        <v>65</v>
      </c>
      <c r="CA90">
        <v>44</v>
      </c>
      <c r="CB90">
        <v>14</v>
      </c>
      <c r="CC90">
        <v>10</v>
      </c>
      <c r="CD90">
        <v>15</v>
      </c>
      <c r="CE90">
        <v>12</v>
      </c>
      <c r="CF90">
        <v>8</v>
      </c>
      <c r="CH90" t="s">
        <v>61</v>
      </c>
      <c r="CI90" t="s">
        <v>61</v>
      </c>
      <c r="CJ90" t="s">
        <v>61</v>
      </c>
      <c r="CK90" t="s">
        <v>66</v>
      </c>
      <c r="CL90" t="s">
        <v>43</v>
      </c>
      <c r="CM90" t="s">
        <v>43</v>
      </c>
      <c r="CN90" t="s">
        <v>43</v>
      </c>
      <c r="CO90" t="s">
        <v>66</v>
      </c>
      <c r="CP90" t="s">
        <v>26</v>
      </c>
      <c r="CQ90" t="s">
        <v>26</v>
      </c>
      <c r="CR90" t="s">
        <v>26</v>
      </c>
      <c r="CS90" t="s">
        <v>62</v>
      </c>
      <c r="CT90" t="s">
        <v>62</v>
      </c>
      <c r="CU90" t="s">
        <v>62</v>
      </c>
      <c r="CV90" t="s">
        <v>62</v>
      </c>
      <c r="CW90" t="s">
        <v>62</v>
      </c>
      <c r="CX90" t="s">
        <v>48</v>
      </c>
      <c r="CY90" t="s">
        <v>48</v>
      </c>
      <c r="CZ90" t="s">
        <v>48</v>
      </c>
      <c r="DA90" t="s">
        <v>48</v>
      </c>
      <c r="DB90" t="s">
        <v>48</v>
      </c>
      <c r="DC90" t="s">
        <v>57</v>
      </c>
      <c r="DD90" t="s">
        <v>68</v>
      </c>
      <c r="DE90" t="s">
        <v>68</v>
      </c>
      <c r="DF90" t="s">
        <v>68</v>
      </c>
      <c r="DG90" t="s">
        <v>57</v>
      </c>
      <c r="DH90" t="s">
        <v>75</v>
      </c>
      <c r="DI9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13.064708600000003</v>
      </c>
      <c r="DJ90" t="s">
        <v>802</v>
      </c>
      <c r="DK90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2.7919934025000002</v>
      </c>
      <c r="DL90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13.101470714471267</v>
      </c>
    </row>
    <row r="91" spans="1:116" x14ac:dyDescent="0.2">
      <c r="A91">
        <v>223671</v>
      </c>
      <c r="B91" t="s">
        <v>803</v>
      </c>
      <c r="C91">
        <v>26</v>
      </c>
      <c r="D91">
        <v>4</v>
      </c>
      <c r="E91" s="1">
        <v>45919</v>
      </c>
      <c r="F91" t="s">
        <v>804</v>
      </c>
      <c r="G91">
        <v>1</v>
      </c>
      <c r="H91">
        <v>0</v>
      </c>
      <c r="I91" t="s">
        <v>805</v>
      </c>
      <c r="J91" t="s">
        <v>55</v>
      </c>
      <c r="K91">
        <v>79</v>
      </c>
      <c r="L91">
        <v>79</v>
      </c>
      <c r="M91">
        <v>16000000</v>
      </c>
      <c r="N91">
        <v>53000</v>
      </c>
      <c r="O91">
        <v>28</v>
      </c>
      <c r="P91" s="1">
        <v>35564</v>
      </c>
      <c r="Q91">
        <v>190</v>
      </c>
      <c r="R91">
        <v>82</v>
      </c>
      <c r="S91">
        <v>31</v>
      </c>
      <c r="T91" t="s">
        <v>250</v>
      </c>
      <c r="U91">
        <v>1</v>
      </c>
      <c r="V91">
        <v>1745</v>
      </c>
      <c r="W91" t="s">
        <v>617</v>
      </c>
      <c r="X91" t="s">
        <v>381</v>
      </c>
      <c r="Y91">
        <v>27</v>
      </c>
      <c r="Z91" t="s">
        <v>503</v>
      </c>
      <c r="AB91">
        <v>2026</v>
      </c>
      <c r="AC91">
        <v>4</v>
      </c>
      <c r="AD91" t="s">
        <v>806</v>
      </c>
      <c r="AH91" t="s">
        <v>2</v>
      </c>
      <c r="AI91">
        <v>3</v>
      </c>
      <c r="AJ91">
        <v>2</v>
      </c>
      <c r="AK91">
        <v>2</v>
      </c>
      <c r="AM91" t="s">
        <v>127</v>
      </c>
      <c r="AN91" t="s">
        <v>254</v>
      </c>
      <c r="AQ91">
        <v>0</v>
      </c>
      <c r="AR91" t="s">
        <v>807</v>
      </c>
      <c r="AS91">
        <v>75</v>
      </c>
      <c r="AT91">
        <v>55</v>
      </c>
      <c r="AU91">
        <v>68</v>
      </c>
      <c r="AV91">
        <v>66</v>
      </c>
      <c r="AW91">
        <v>80</v>
      </c>
      <c r="AX91">
        <v>74</v>
      </c>
      <c r="AY91">
        <v>73</v>
      </c>
      <c r="AZ91">
        <v>52</v>
      </c>
      <c r="BA91">
        <v>80</v>
      </c>
      <c r="BB91">
        <v>74</v>
      </c>
      <c r="BC91">
        <v>51</v>
      </c>
      <c r="BD91">
        <v>65</v>
      </c>
      <c r="BE91">
        <v>65</v>
      </c>
      <c r="BF91">
        <v>45</v>
      </c>
      <c r="BG91">
        <v>70</v>
      </c>
      <c r="BH91">
        <v>75</v>
      </c>
      <c r="BI91">
        <v>71</v>
      </c>
      <c r="BJ91">
        <v>78</v>
      </c>
      <c r="BK91">
        <v>36</v>
      </c>
      <c r="BL91">
        <v>76</v>
      </c>
      <c r="BM91">
        <v>60</v>
      </c>
      <c r="BN91">
        <v>63</v>
      </c>
      <c r="BO91">
        <v>85</v>
      </c>
      <c r="BP91">
        <v>70</v>
      </c>
      <c r="BQ91">
        <v>75</v>
      </c>
      <c r="BR91">
        <v>54</v>
      </c>
      <c r="BS91">
        <v>73</v>
      </c>
      <c r="BT91">
        <v>78</v>
      </c>
      <c r="BU91">
        <v>71</v>
      </c>
      <c r="BV91">
        <v>55</v>
      </c>
      <c r="BW91">
        <v>38</v>
      </c>
      <c r="BX91">
        <v>70</v>
      </c>
      <c r="BY91">
        <v>79</v>
      </c>
      <c r="BZ91">
        <v>82</v>
      </c>
      <c r="CA91">
        <v>78</v>
      </c>
      <c r="CB91">
        <v>6</v>
      </c>
      <c r="CC91">
        <v>8</v>
      </c>
      <c r="CD91">
        <v>7</v>
      </c>
      <c r="CE91">
        <v>6</v>
      </c>
      <c r="CF91">
        <v>8</v>
      </c>
      <c r="CH91" t="s">
        <v>89</v>
      </c>
      <c r="CI91" t="s">
        <v>89</v>
      </c>
      <c r="CJ91" t="s">
        <v>89</v>
      </c>
      <c r="CK91" t="s">
        <v>120</v>
      </c>
      <c r="CL91" t="s">
        <v>58</v>
      </c>
      <c r="CM91" t="s">
        <v>58</v>
      </c>
      <c r="CN91" t="s">
        <v>58</v>
      </c>
      <c r="CO91" t="s">
        <v>120</v>
      </c>
      <c r="CP91" t="s">
        <v>78</v>
      </c>
      <c r="CQ91" t="s">
        <v>78</v>
      </c>
      <c r="CR91" t="s">
        <v>78</v>
      </c>
      <c r="CS91" t="s">
        <v>59</v>
      </c>
      <c r="CT91" t="s">
        <v>59</v>
      </c>
      <c r="CU91" t="s">
        <v>59</v>
      </c>
      <c r="CV91" t="s">
        <v>59</v>
      </c>
      <c r="CW91" t="s">
        <v>59</v>
      </c>
      <c r="CX91" t="s">
        <v>64</v>
      </c>
      <c r="CY91" t="s">
        <v>64</v>
      </c>
      <c r="CZ91" t="s">
        <v>64</v>
      </c>
      <c r="DA91" t="s">
        <v>64</v>
      </c>
      <c r="DB91" t="s">
        <v>64</v>
      </c>
      <c r="DC91" t="s">
        <v>81</v>
      </c>
      <c r="DD91" t="s">
        <v>80</v>
      </c>
      <c r="DE91" t="s">
        <v>80</v>
      </c>
      <c r="DF91" t="s">
        <v>80</v>
      </c>
      <c r="DG91" t="s">
        <v>81</v>
      </c>
      <c r="DH91" t="s">
        <v>86</v>
      </c>
      <c r="DI9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13.040031499999998</v>
      </c>
      <c r="DJ91" t="s">
        <v>808</v>
      </c>
      <c r="DK91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2.2708558164062498</v>
      </c>
      <c r="DL91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13.109080455576731</v>
      </c>
    </row>
    <row r="92" spans="1:116" x14ac:dyDescent="0.2">
      <c r="A92">
        <v>261050</v>
      </c>
      <c r="B92" t="s">
        <v>809</v>
      </c>
      <c r="C92">
        <v>26</v>
      </c>
      <c r="D92">
        <v>4</v>
      </c>
      <c r="E92" s="1">
        <v>45919</v>
      </c>
      <c r="F92" t="s">
        <v>810</v>
      </c>
      <c r="G92">
        <v>0</v>
      </c>
      <c r="H92">
        <v>0</v>
      </c>
      <c r="I92" t="s">
        <v>811</v>
      </c>
      <c r="J92" t="s">
        <v>812</v>
      </c>
      <c r="K92">
        <v>79</v>
      </c>
      <c r="L92">
        <v>86</v>
      </c>
      <c r="M92">
        <v>35500000</v>
      </c>
      <c r="N92">
        <v>95000</v>
      </c>
      <c r="O92">
        <v>22</v>
      </c>
      <c r="P92" s="1">
        <v>37604</v>
      </c>
      <c r="Q92">
        <v>168</v>
      </c>
      <c r="R92">
        <v>61</v>
      </c>
      <c r="S92">
        <v>31</v>
      </c>
      <c r="T92" t="s">
        <v>250</v>
      </c>
      <c r="U92">
        <v>1</v>
      </c>
      <c r="V92">
        <v>45</v>
      </c>
      <c r="W92" t="s">
        <v>345</v>
      </c>
      <c r="X92" t="s">
        <v>646</v>
      </c>
      <c r="Y92">
        <v>7</v>
      </c>
      <c r="AA92" s="1">
        <v>45862</v>
      </c>
      <c r="AB92">
        <v>2030</v>
      </c>
      <c r="AC92">
        <v>38</v>
      </c>
      <c r="AD92" t="s">
        <v>389</v>
      </c>
      <c r="AE92">
        <v>1354</v>
      </c>
      <c r="AF92" t="s">
        <v>96</v>
      </c>
      <c r="AG92">
        <v>26</v>
      </c>
      <c r="AH92" t="s">
        <v>18</v>
      </c>
      <c r="AI92">
        <v>2</v>
      </c>
      <c r="AJ92">
        <v>4</v>
      </c>
      <c r="AK92">
        <v>1</v>
      </c>
      <c r="AM92" t="s">
        <v>91</v>
      </c>
      <c r="AN92" t="s">
        <v>254</v>
      </c>
      <c r="AO92">
        <v>67500000</v>
      </c>
      <c r="AP92" t="s">
        <v>5</v>
      </c>
      <c r="AQ92">
        <v>1</v>
      </c>
      <c r="AR92" t="s">
        <v>813</v>
      </c>
      <c r="AS92">
        <v>87</v>
      </c>
      <c r="AT92">
        <v>69</v>
      </c>
      <c r="AU92">
        <v>74</v>
      </c>
      <c r="AV92">
        <v>85</v>
      </c>
      <c r="AW92">
        <v>37</v>
      </c>
      <c r="AX92">
        <v>50</v>
      </c>
      <c r="AY92">
        <v>74</v>
      </c>
      <c r="AZ92">
        <v>69</v>
      </c>
      <c r="BA92">
        <v>40</v>
      </c>
      <c r="BB92">
        <v>78</v>
      </c>
      <c r="BC92">
        <v>71</v>
      </c>
      <c r="BD92">
        <v>85</v>
      </c>
      <c r="BE92">
        <v>77</v>
      </c>
      <c r="BF92">
        <v>58</v>
      </c>
      <c r="BG92">
        <v>71</v>
      </c>
      <c r="BH92">
        <v>83</v>
      </c>
      <c r="BI92">
        <v>88</v>
      </c>
      <c r="BJ92">
        <v>87</v>
      </c>
      <c r="BK92">
        <v>93</v>
      </c>
      <c r="BL92">
        <v>79</v>
      </c>
      <c r="BM92">
        <v>90</v>
      </c>
      <c r="BN92">
        <v>72</v>
      </c>
      <c r="BO92">
        <v>55</v>
      </c>
      <c r="BP92">
        <v>69</v>
      </c>
      <c r="BQ92">
        <v>40</v>
      </c>
      <c r="BR92">
        <v>67</v>
      </c>
      <c r="BS92">
        <v>50</v>
      </c>
      <c r="BT92">
        <v>31</v>
      </c>
      <c r="BU92">
        <v>76</v>
      </c>
      <c r="BV92">
        <v>74</v>
      </c>
      <c r="BW92">
        <v>59</v>
      </c>
      <c r="BX92">
        <v>72</v>
      </c>
      <c r="BY92">
        <v>34</v>
      </c>
      <c r="BZ92">
        <v>42</v>
      </c>
      <c r="CA92">
        <v>38</v>
      </c>
      <c r="CB92">
        <v>9</v>
      </c>
      <c r="CC92">
        <v>6</v>
      </c>
      <c r="CD92">
        <v>7</v>
      </c>
      <c r="CE92">
        <v>15</v>
      </c>
      <c r="CF92">
        <v>14</v>
      </c>
      <c r="CH92" t="s">
        <v>53</v>
      </c>
      <c r="CI92" t="s">
        <v>53</v>
      </c>
      <c r="CJ92" t="s">
        <v>53</v>
      </c>
      <c r="CK92" t="s">
        <v>44</v>
      </c>
      <c r="CL92" t="s">
        <v>66</v>
      </c>
      <c r="CM92" t="s">
        <v>66</v>
      </c>
      <c r="CN92" t="s">
        <v>66</v>
      </c>
      <c r="CO92" t="s">
        <v>44</v>
      </c>
      <c r="CP92" t="s">
        <v>26</v>
      </c>
      <c r="CQ92" t="s">
        <v>26</v>
      </c>
      <c r="CR92" t="s">
        <v>26</v>
      </c>
      <c r="CS92" t="s">
        <v>26</v>
      </c>
      <c r="CT92" t="s">
        <v>61</v>
      </c>
      <c r="CU92" t="s">
        <v>61</v>
      </c>
      <c r="CV92" t="s">
        <v>61</v>
      </c>
      <c r="CW92" t="s">
        <v>26</v>
      </c>
      <c r="CX92" t="s">
        <v>51</v>
      </c>
      <c r="CY92" t="s">
        <v>68</v>
      </c>
      <c r="CZ92" t="s">
        <v>68</v>
      </c>
      <c r="DA92" t="s">
        <v>68</v>
      </c>
      <c r="DB92" t="s">
        <v>51</v>
      </c>
      <c r="DC92" t="s">
        <v>111</v>
      </c>
      <c r="DD92" t="s">
        <v>133</v>
      </c>
      <c r="DE92" t="s">
        <v>133</v>
      </c>
      <c r="DF92" t="s">
        <v>133</v>
      </c>
      <c r="DG92" t="s">
        <v>111</v>
      </c>
      <c r="DH92" t="s">
        <v>70</v>
      </c>
      <c r="DI92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11.8418183</v>
      </c>
      <c r="DJ92" t="s">
        <v>814</v>
      </c>
      <c r="DK92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2.756999225625</v>
      </c>
      <c r="DL92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11.821072278531442</v>
      </c>
    </row>
    <row r="93" spans="1:116" x14ac:dyDescent="0.2">
      <c r="A93">
        <v>239763</v>
      </c>
      <c r="B93" t="s">
        <v>815</v>
      </c>
      <c r="C93">
        <v>26</v>
      </c>
      <c r="D93">
        <v>4</v>
      </c>
      <c r="E93" s="1">
        <v>45919</v>
      </c>
      <c r="F93" t="s">
        <v>816</v>
      </c>
      <c r="G93">
        <v>0</v>
      </c>
      <c r="H93">
        <v>0</v>
      </c>
      <c r="I93" t="s">
        <v>817</v>
      </c>
      <c r="J93" t="s">
        <v>95</v>
      </c>
      <c r="K93">
        <v>79</v>
      </c>
      <c r="L93">
        <v>80</v>
      </c>
      <c r="M93">
        <v>20500000</v>
      </c>
      <c r="N93">
        <v>105000</v>
      </c>
      <c r="O93">
        <v>26</v>
      </c>
      <c r="P93" s="1">
        <v>36250</v>
      </c>
      <c r="Q93">
        <v>180</v>
      </c>
      <c r="R93">
        <v>74</v>
      </c>
      <c r="S93">
        <v>31</v>
      </c>
      <c r="T93" t="s">
        <v>250</v>
      </c>
      <c r="U93">
        <v>1</v>
      </c>
      <c r="V93">
        <v>45</v>
      </c>
      <c r="W93" t="s">
        <v>345</v>
      </c>
      <c r="X93" t="s">
        <v>110</v>
      </c>
      <c r="Y93">
        <v>11</v>
      </c>
      <c r="AA93" s="1">
        <v>45901</v>
      </c>
      <c r="AB93">
        <v>2030</v>
      </c>
      <c r="AC93">
        <v>219</v>
      </c>
      <c r="AD93" t="s">
        <v>470</v>
      </c>
      <c r="AH93" t="s">
        <v>18</v>
      </c>
      <c r="AI93">
        <v>2</v>
      </c>
      <c r="AJ93">
        <v>4</v>
      </c>
      <c r="AK93">
        <v>3</v>
      </c>
      <c r="AM93" t="s">
        <v>19</v>
      </c>
      <c r="AN93" t="s">
        <v>254</v>
      </c>
      <c r="AO93">
        <v>36400000</v>
      </c>
      <c r="AP93" t="s">
        <v>366</v>
      </c>
      <c r="AQ93">
        <v>1</v>
      </c>
      <c r="AR93" t="s">
        <v>818</v>
      </c>
      <c r="AS93">
        <v>84</v>
      </c>
      <c r="AT93">
        <v>71</v>
      </c>
      <c r="AU93">
        <v>76</v>
      </c>
      <c r="AV93">
        <v>85</v>
      </c>
      <c r="AW93">
        <v>25</v>
      </c>
      <c r="AX93">
        <v>62</v>
      </c>
      <c r="AY93">
        <v>78</v>
      </c>
      <c r="AZ93">
        <v>69</v>
      </c>
      <c r="BA93">
        <v>36</v>
      </c>
      <c r="BB93">
        <v>76</v>
      </c>
      <c r="BC93">
        <v>62</v>
      </c>
      <c r="BD93">
        <v>87</v>
      </c>
      <c r="BE93">
        <v>82</v>
      </c>
      <c r="BF93">
        <v>74</v>
      </c>
      <c r="BG93">
        <v>70</v>
      </c>
      <c r="BH93">
        <v>82</v>
      </c>
      <c r="BI93">
        <v>90</v>
      </c>
      <c r="BJ93">
        <v>79</v>
      </c>
      <c r="BK93">
        <v>90</v>
      </c>
      <c r="BL93">
        <v>74</v>
      </c>
      <c r="BM93">
        <v>84</v>
      </c>
      <c r="BN93">
        <v>78</v>
      </c>
      <c r="BO93">
        <v>66</v>
      </c>
      <c r="BP93">
        <v>65</v>
      </c>
      <c r="BQ93">
        <v>63</v>
      </c>
      <c r="BR93">
        <v>75</v>
      </c>
      <c r="BS93">
        <v>54</v>
      </c>
      <c r="BT93">
        <v>20</v>
      </c>
      <c r="BU93">
        <v>75</v>
      </c>
      <c r="BV93">
        <v>77</v>
      </c>
      <c r="BW93">
        <v>51</v>
      </c>
      <c r="BX93">
        <v>78</v>
      </c>
      <c r="BY93">
        <v>32</v>
      </c>
      <c r="BZ93">
        <v>21</v>
      </c>
      <c r="CA93">
        <v>18</v>
      </c>
      <c r="CB93">
        <v>7</v>
      </c>
      <c r="CC93">
        <v>11</v>
      </c>
      <c r="CD93">
        <v>6</v>
      </c>
      <c r="CE93">
        <v>12</v>
      </c>
      <c r="CF93">
        <v>7</v>
      </c>
      <c r="CH93" t="s">
        <v>282</v>
      </c>
      <c r="CI93" t="s">
        <v>282</v>
      </c>
      <c r="CJ93" t="s">
        <v>282</v>
      </c>
      <c r="CK93" t="s">
        <v>44</v>
      </c>
      <c r="CL93" t="s">
        <v>66</v>
      </c>
      <c r="CM93" t="s">
        <v>66</v>
      </c>
      <c r="CN93" t="s">
        <v>66</v>
      </c>
      <c r="CO93" t="s">
        <v>44</v>
      </c>
      <c r="CP93" t="s">
        <v>67</v>
      </c>
      <c r="CQ93" t="s">
        <v>67</v>
      </c>
      <c r="CR93" t="s">
        <v>67</v>
      </c>
      <c r="CS93" t="s">
        <v>62</v>
      </c>
      <c r="CT93" t="s">
        <v>290</v>
      </c>
      <c r="CU93" t="s">
        <v>290</v>
      </c>
      <c r="CV93" t="s">
        <v>290</v>
      </c>
      <c r="CW93" t="s">
        <v>62</v>
      </c>
      <c r="CX93" t="s">
        <v>376</v>
      </c>
      <c r="CY93" t="s">
        <v>459</v>
      </c>
      <c r="CZ93" t="s">
        <v>459</v>
      </c>
      <c r="DA93" t="s">
        <v>459</v>
      </c>
      <c r="DB93" t="s">
        <v>376</v>
      </c>
      <c r="DC93" t="s">
        <v>453</v>
      </c>
      <c r="DD93" t="s">
        <v>297</v>
      </c>
      <c r="DE93" t="s">
        <v>297</v>
      </c>
      <c r="DF93" t="s">
        <v>297</v>
      </c>
      <c r="DG93" t="s">
        <v>453</v>
      </c>
      <c r="DH93" t="s">
        <v>40</v>
      </c>
      <c r="DI93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12.4961772</v>
      </c>
      <c r="DJ93" t="s">
        <v>819</v>
      </c>
      <c r="DK93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2.8680755506250004</v>
      </c>
      <c r="DL93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12.539733679454216</v>
      </c>
    </row>
    <row r="94" spans="1:116" x14ac:dyDescent="0.2">
      <c r="A94">
        <v>226710</v>
      </c>
      <c r="B94" t="s">
        <v>820</v>
      </c>
      <c r="C94">
        <v>26</v>
      </c>
      <c r="D94">
        <v>4</v>
      </c>
      <c r="E94" s="1">
        <v>45919</v>
      </c>
      <c r="F94" t="s">
        <v>821</v>
      </c>
      <c r="G94">
        <v>0</v>
      </c>
      <c r="H94">
        <v>0</v>
      </c>
      <c r="I94" t="s">
        <v>822</v>
      </c>
      <c r="J94" t="s">
        <v>34</v>
      </c>
      <c r="K94">
        <v>79</v>
      </c>
      <c r="L94">
        <v>80</v>
      </c>
      <c r="M94">
        <v>21000000</v>
      </c>
      <c r="N94">
        <v>71000</v>
      </c>
      <c r="O94">
        <v>26</v>
      </c>
      <c r="P94" s="1">
        <v>36161</v>
      </c>
      <c r="Q94">
        <v>196</v>
      </c>
      <c r="R94">
        <v>85</v>
      </c>
      <c r="S94">
        <v>31</v>
      </c>
      <c r="T94" t="s">
        <v>250</v>
      </c>
      <c r="U94">
        <v>1</v>
      </c>
      <c r="V94">
        <v>39</v>
      </c>
      <c r="W94" t="s">
        <v>396</v>
      </c>
      <c r="X94" t="s">
        <v>34</v>
      </c>
      <c r="Y94">
        <v>9</v>
      </c>
      <c r="AA94" s="1">
        <v>45145</v>
      </c>
      <c r="AB94">
        <v>2027</v>
      </c>
      <c r="AC94">
        <v>27</v>
      </c>
      <c r="AD94" t="s">
        <v>267</v>
      </c>
      <c r="AH94" t="s">
        <v>2</v>
      </c>
      <c r="AI94">
        <v>3</v>
      </c>
      <c r="AJ94">
        <v>3</v>
      </c>
      <c r="AK94">
        <v>3</v>
      </c>
      <c r="AM94" t="s">
        <v>88</v>
      </c>
      <c r="AN94" t="s">
        <v>254</v>
      </c>
      <c r="AO94">
        <v>37300000</v>
      </c>
      <c r="AP94" t="s">
        <v>823</v>
      </c>
      <c r="AQ94">
        <v>0</v>
      </c>
      <c r="AR94" t="s">
        <v>824</v>
      </c>
      <c r="AS94">
        <v>65</v>
      </c>
      <c r="AT94">
        <v>81</v>
      </c>
      <c r="AU94">
        <v>67</v>
      </c>
      <c r="AV94">
        <v>74</v>
      </c>
      <c r="AW94">
        <v>36</v>
      </c>
      <c r="AX94">
        <v>70</v>
      </c>
      <c r="AY94">
        <v>44</v>
      </c>
      <c r="AZ94">
        <v>83</v>
      </c>
      <c r="BA94">
        <v>83</v>
      </c>
      <c r="BB94">
        <v>75</v>
      </c>
      <c r="BC94">
        <v>79</v>
      </c>
      <c r="BD94">
        <v>74</v>
      </c>
      <c r="BE94">
        <v>69</v>
      </c>
      <c r="BF94">
        <v>68</v>
      </c>
      <c r="BG94">
        <v>70</v>
      </c>
      <c r="BH94">
        <v>80</v>
      </c>
      <c r="BI94">
        <v>61</v>
      </c>
      <c r="BJ94">
        <v>69</v>
      </c>
      <c r="BK94">
        <v>61</v>
      </c>
      <c r="BL94">
        <v>76</v>
      </c>
      <c r="BM94">
        <v>54</v>
      </c>
      <c r="BN94">
        <v>83</v>
      </c>
      <c r="BO94">
        <v>86</v>
      </c>
      <c r="BP94">
        <v>51</v>
      </c>
      <c r="BQ94">
        <v>83</v>
      </c>
      <c r="BR94">
        <v>78</v>
      </c>
      <c r="BS94">
        <v>58</v>
      </c>
      <c r="BT94">
        <v>26</v>
      </c>
      <c r="BU94">
        <v>80</v>
      </c>
      <c r="BV94">
        <v>71</v>
      </c>
      <c r="BW94">
        <v>68</v>
      </c>
      <c r="BX94">
        <v>79</v>
      </c>
      <c r="BY94">
        <v>40</v>
      </c>
      <c r="BZ94">
        <v>28</v>
      </c>
      <c r="CA94">
        <v>20</v>
      </c>
      <c r="CB94">
        <v>12</v>
      </c>
      <c r="CC94">
        <v>10</v>
      </c>
      <c r="CD94">
        <v>11</v>
      </c>
      <c r="CE94">
        <v>7</v>
      </c>
      <c r="CF94">
        <v>12</v>
      </c>
      <c r="CH94" t="s">
        <v>67</v>
      </c>
      <c r="CI94" t="s">
        <v>67</v>
      </c>
      <c r="CJ94" t="s">
        <v>67</v>
      </c>
      <c r="CK94" t="s">
        <v>22</v>
      </c>
      <c r="CL94" t="s">
        <v>43</v>
      </c>
      <c r="CM94" t="s">
        <v>43</v>
      </c>
      <c r="CN94" t="s">
        <v>43</v>
      </c>
      <c r="CO94" t="s">
        <v>22</v>
      </c>
      <c r="CP94" t="s">
        <v>25</v>
      </c>
      <c r="CQ94" t="s">
        <v>25</v>
      </c>
      <c r="CR94" t="s">
        <v>25</v>
      </c>
      <c r="CS94" t="s">
        <v>290</v>
      </c>
      <c r="CT94" t="s">
        <v>283</v>
      </c>
      <c r="CU94" t="s">
        <v>283</v>
      </c>
      <c r="CV94" t="s">
        <v>283</v>
      </c>
      <c r="CW94" t="s">
        <v>290</v>
      </c>
      <c r="CX94" t="s">
        <v>453</v>
      </c>
      <c r="CY94" t="s">
        <v>452</v>
      </c>
      <c r="CZ94" t="s">
        <v>452</v>
      </c>
      <c r="DA94" t="s">
        <v>452</v>
      </c>
      <c r="DB94" t="s">
        <v>453</v>
      </c>
      <c r="DC94" t="s">
        <v>45</v>
      </c>
      <c r="DD94" t="s">
        <v>14</v>
      </c>
      <c r="DE94" t="s">
        <v>14</v>
      </c>
      <c r="DF94" t="s">
        <v>14</v>
      </c>
      <c r="DG94" t="s">
        <v>45</v>
      </c>
      <c r="DH94" t="s">
        <v>293</v>
      </c>
      <c r="DI94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12.5042466</v>
      </c>
      <c r="DJ94" t="s">
        <v>825</v>
      </c>
      <c r="DK94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2.5041625624999995</v>
      </c>
      <c r="DL94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12.607897126024188</v>
      </c>
    </row>
    <row r="95" spans="1:116" x14ac:dyDescent="0.2">
      <c r="A95">
        <v>208165</v>
      </c>
      <c r="B95" t="s">
        <v>826</v>
      </c>
      <c r="C95">
        <v>26</v>
      </c>
      <c r="D95">
        <v>4</v>
      </c>
      <c r="E95" s="1">
        <v>45919</v>
      </c>
      <c r="F95" t="s">
        <v>827</v>
      </c>
      <c r="G95">
        <v>1</v>
      </c>
      <c r="H95">
        <v>0</v>
      </c>
      <c r="I95" t="s">
        <v>828</v>
      </c>
      <c r="J95" t="s">
        <v>71</v>
      </c>
      <c r="K95">
        <v>79</v>
      </c>
      <c r="L95">
        <v>79</v>
      </c>
      <c r="M95">
        <v>11500000</v>
      </c>
      <c r="N95">
        <v>66000</v>
      </c>
      <c r="O95">
        <v>32</v>
      </c>
      <c r="P95" s="1">
        <v>34019</v>
      </c>
      <c r="Q95">
        <v>190</v>
      </c>
      <c r="R95">
        <v>83</v>
      </c>
      <c r="S95">
        <v>31</v>
      </c>
      <c r="T95" t="s">
        <v>250</v>
      </c>
      <c r="U95">
        <v>1</v>
      </c>
      <c r="V95">
        <v>39</v>
      </c>
      <c r="W95" t="s">
        <v>396</v>
      </c>
      <c r="X95" t="s">
        <v>112</v>
      </c>
      <c r="Y95">
        <v>19</v>
      </c>
      <c r="AA95" s="1">
        <v>42387</v>
      </c>
      <c r="AB95">
        <v>2026</v>
      </c>
      <c r="AC95">
        <v>1</v>
      </c>
      <c r="AD95" t="s">
        <v>829</v>
      </c>
      <c r="AH95" t="s">
        <v>2</v>
      </c>
      <c r="AI95">
        <v>3</v>
      </c>
      <c r="AJ95">
        <v>2</v>
      </c>
      <c r="AK95">
        <v>1</v>
      </c>
      <c r="AM95" t="s">
        <v>88</v>
      </c>
      <c r="AN95" t="s">
        <v>4</v>
      </c>
      <c r="AO95">
        <v>19600000</v>
      </c>
      <c r="AQ95">
        <v>0</v>
      </c>
      <c r="AR95" t="s">
        <v>830</v>
      </c>
      <c r="AS95">
        <v>64</v>
      </c>
      <c r="AT95">
        <v>39</v>
      </c>
      <c r="AU95">
        <v>60</v>
      </c>
      <c r="AV95">
        <v>53</v>
      </c>
      <c r="AW95">
        <v>81</v>
      </c>
      <c r="AX95">
        <v>79</v>
      </c>
      <c r="AY95">
        <v>53</v>
      </c>
      <c r="AZ95">
        <v>36</v>
      </c>
      <c r="BA95">
        <v>81</v>
      </c>
      <c r="BB95">
        <v>71</v>
      </c>
      <c r="BC95">
        <v>32</v>
      </c>
      <c r="BD95">
        <v>41</v>
      </c>
      <c r="BE95">
        <v>42</v>
      </c>
      <c r="BF95">
        <v>30</v>
      </c>
      <c r="BG95">
        <v>68</v>
      </c>
      <c r="BH95">
        <v>67</v>
      </c>
      <c r="BI95">
        <v>63</v>
      </c>
      <c r="BJ95">
        <v>65</v>
      </c>
      <c r="BK95">
        <v>40</v>
      </c>
      <c r="BL95">
        <v>79</v>
      </c>
      <c r="BM95">
        <v>51</v>
      </c>
      <c r="BN95">
        <v>52</v>
      </c>
      <c r="BO95">
        <v>84</v>
      </c>
      <c r="BP95">
        <v>77</v>
      </c>
      <c r="BQ95">
        <v>79</v>
      </c>
      <c r="BR95">
        <v>30</v>
      </c>
      <c r="BS95">
        <v>80</v>
      </c>
      <c r="BT95">
        <v>80</v>
      </c>
      <c r="BU95">
        <v>55</v>
      </c>
      <c r="BV95">
        <v>56</v>
      </c>
      <c r="BW95">
        <v>38</v>
      </c>
      <c r="BX95">
        <v>74</v>
      </c>
      <c r="BY95">
        <v>84</v>
      </c>
      <c r="BZ95">
        <v>81</v>
      </c>
      <c r="CA95">
        <v>77</v>
      </c>
      <c r="CB95">
        <v>10</v>
      </c>
      <c r="CC95">
        <v>6</v>
      </c>
      <c r="CD95">
        <v>13</v>
      </c>
      <c r="CE95">
        <v>10</v>
      </c>
      <c r="CF95">
        <v>10</v>
      </c>
      <c r="CH95" t="s">
        <v>111</v>
      </c>
      <c r="CI95" t="s">
        <v>111</v>
      </c>
      <c r="CJ95" t="s">
        <v>111</v>
      </c>
      <c r="CK95" t="s">
        <v>113</v>
      </c>
      <c r="CL95" t="s">
        <v>134</v>
      </c>
      <c r="CM95" t="s">
        <v>134</v>
      </c>
      <c r="CN95" t="s">
        <v>134</v>
      </c>
      <c r="CO95" t="s">
        <v>113</v>
      </c>
      <c r="CP95" t="s">
        <v>68</v>
      </c>
      <c r="CQ95" t="s">
        <v>68</v>
      </c>
      <c r="CR95" t="s">
        <v>68</v>
      </c>
      <c r="CS95" t="s">
        <v>99</v>
      </c>
      <c r="CT95" t="s">
        <v>52</v>
      </c>
      <c r="CU95" t="s">
        <v>52</v>
      </c>
      <c r="CV95" t="s">
        <v>52</v>
      </c>
      <c r="CW95" t="s">
        <v>99</v>
      </c>
      <c r="CX95" t="s">
        <v>53</v>
      </c>
      <c r="CY95" t="s">
        <v>64</v>
      </c>
      <c r="CZ95" t="s">
        <v>64</v>
      </c>
      <c r="DA95" t="s">
        <v>64</v>
      </c>
      <c r="DB95" t="s">
        <v>53</v>
      </c>
      <c r="DC95" t="s">
        <v>54</v>
      </c>
      <c r="DD95" t="s">
        <v>44</v>
      </c>
      <c r="DE95" t="s">
        <v>44</v>
      </c>
      <c r="DF95" t="s">
        <v>44</v>
      </c>
      <c r="DG95" t="s">
        <v>54</v>
      </c>
      <c r="DH95" t="s">
        <v>75</v>
      </c>
      <c r="DI95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12.350888900000001</v>
      </c>
      <c r="DJ95" t="s">
        <v>831</v>
      </c>
      <c r="DK95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1.9531832656250003</v>
      </c>
      <c r="DL95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12.412577587426922</v>
      </c>
    </row>
    <row r="96" spans="1:116" x14ac:dyDescent="0.2">
      <c r="A96">
        <v>238744</v>
      </c>
      <c r="B96" t="s">
        <v>832</v>
      </c>
      <c r="C96">
        <v>26</v>
      </c>
      <c r="D96">
        <v>4</v>
      </c>
      <c r="E96" s="1">
        <v>45919</v>
      </c>
      <c r="F96" t="s">
        <v>833</v>
      </c>
      <c r="G96">
        <v>0</v>
      </c>
      <c r="H96">
        <v>1</v>
      </c>
      <c r="I96" t="s">
        <v>834</v>
      </c>
      <c r="J96" t="s">
        <v>835</v>
      </c>
      <c r="K96">
        <v>78</v>
      </c>
      <c r="L96">
        <v>79</v>
      </c>
      <c r="M96">
        <v>16500000</v>
      </c>
      <c r="N96">
        <v>95000</v>
      </c>
      <c r="O96">
        <v>26</v>
      </c>
      <c r="P96" s="1">
        <v>36035</v>
      </c>
      <c r="Q96">
        <v>180</v>
      </c>
      <c r="R96">
        <v>86</v>
      </c>
      <c r="S96">
        <v>31</v>
      </c>
      <c r="T96" t="s">
        <v>250</v>
      </c>
      <c r="U96">
        <v>1</v>
      </c>
      <c r="V96">
        <v>45</v>
      </c>
      <c r="W96" t="s">
        <v>345</v>
      </c>
      <c r="X96" t="s">
        <v>110</v>
      </c>
      <c r="Y96">
        <v>22</v>
      </c>
      <c r="AA96" s="1">
        <v>44378</v>
      </c>
      <c r="AB96">
        <v>2026</v>
      </c>
      <c r="AC96">
        <v>95</v>
      </c>
      <c r="AD96" t="s">
        <v>374</v>
      </c>
      <c r="AE96">
        <v>1387</v>
      </c>
      <c r="AF96" t="s">
        <v>101</v>
      </c>
      <c r="AG96">
        <v>8</v>
      </c>
      <c r="AH96" t="s">
        <v>2</v>
      </c>
      <c r="AI96">
        <v>3</v>
      </c>
      <c r="AJ96">
        <v>3</v>
      </c>
      <c r="AK96">
        <v>2</v>
      </c>
      <c r="AM96" t="s">
        <v>72</v>
      </c>
      <c r="AN96" t="s">
        <v>254</v>
      </c>
      <c r="AO96">
        <v>29300000</v>
      </c>
      <c r="AQ96">
        <v>0</v>
      </c>
      <c r="AR96" t="s">
        <v>836</v>
      </c>
      <c r="AS96">
        <v>77</v>
      </c>
      <c r="AT96">
        <v>71</v>
      </c>
      <c r="AU96">
        <v>77</v>
      </c>
      <c r="AV96">
        <v>77</v>
      </c>
      <c r="AW96">
        <v>80</v>
      </c>
      <c r="AX96">
        <v>80</v>
      </c>
      <c r="AY96">
        <v>78</v>
      </c>
      <c r="AZ96">
        <v>68</v>
      </c>
      <c r="BA96">
        <v>86</v>
      </c>
      <c r="BB96">
        <v>78</v>
      </c>
      <c r="BC96">
        <v>77</v>
      </c>
      <c r="BD96">
        <v>78</v>
      </c>
      <c r="BE96">
        <v>77</v>
      </c>
      <c r="BF96">
        <v>63</v>
      </c>
      <c r="BG96">
        <v>77</v>
      </c>
      <c r="BH96">
        <v>78</v>
      </c>
      <c r="BI96">
        <v>75</v>
      </c>
      <c r="BJ96">
        <v>78</v>
      </c>
      <c r="BK96">
        <v>68</v>
      </c>
      <c r="BL96">
        <v>77</v>
      </c>
      <c r="BM96">
        <v>69</v>
      </c>
      <c r="BN96">
        <v>76</v>
      </c>
      <c r="BO96">
        <v>91</v>
      </c>
      <c r="BP96">
        <v>81</v>
      </c>
      <c r="BQ96">
        <v>77</v>
      </c>
      <c r="BR96">
        <v>73</v>
      </c>
      <c r="BS96">
        <v>82</v>
      </c>
      <c r="BT96">
        <v>78</v>
      </c>
      <c r="BU96">
        <v>78</v>
      </c>
      <c r="BV96">
        <v>76</v>
      </c>
      <c r="BW96">
        <v>61</v>
      </c>
      <c r="BX96">
        <v>78</v>
      </c>
      <c r="BY96">
        <v>78</v>
      </c>
      <c r="BZ96">
        <v>82</v>
      </c>
      <c r="CA96">
        <v>75</v>
      </c>
      <c r="CB96">
        <v>7</v>
      </c>
      <c r="CC96">
        <v>9</v>
      </c>
      <c r="CD96">
        <v>12</v>
      </c>
      <c r="CE96">
        <v>9</v>
      </c>
      <c r="CF96">
        <v>11</v>
      </c>
      <c r="CH96" t="s">
        <v>63</v>
      </c>
      <c r="CI96" t="s">
        <v>63</v>
      </c>
      <c r="CJ96" t="s">
        <v>63</v>
      </c>
      <c r="CK96" t="s">
        <v>97</v>
      </c>
      <c r="CL96" t="s">
        <v>97</v>
      </c>
      <c r="CM96" t="s">
        <v>97</v>
      </c>
      <c r="CN96" t="s">
        <v>97</v>
      </c>
      <c r="CO96" t="s">
        <v>97</v>
      </c>
      <c r="CP96" t="s">
        <v>63</v>
      </c>
      <c r="CQ96" t="s">
        <v>63</v>
      </c>
      <c r="CR96" t="s">
        <v>63</v>
      </c>
      <c r="CS96" t="s">
        <v>81</v>
      </c>
      <c r="CT96" t="s">
        <v>80</v>
      </c>
      <c r="CU96" t="s">
        <v>80</v>
      </c>
      <c r="CV96" t="s">
        <v>80</v>
      </c>
      <c r="CW96" t="s">
        <v>81</v>
      </c>
      <c r="CX96" t="s">
        <v>80</v>
      </c>
      <c r="CY96" t="s">
        <v>80</v>
      </c>
      <c r="CZ96" t="s">
        <v>80</v>
      </c>
      <c r="DA96" t="s">
        <v>80</v>
      </c>
      <c r="DB96" t="s">
        <v>80</v>
      </c>
      <c r="DC96" t="s">
        <v>80</v>
      </c>
      <c r="DD96" t="s">
        <v>87</v>
      </c>
      <c r="DE96" t="s">
        <v>87</v>
      </c>
      <c r="DF96" t="s">
        <v>87</v>
      </c>
      <c r="DG96" t="s">
        <v>80</v>
      </c>
      <c r="DH96" t="s">
        <v>75</v>
      </c>
      <c r="DI96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13.582426999999999</v>
      </c>
      <c r="DJ96" t="s">
        <v>837</v>
      </c>
      <c r="DK96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2.8510230625000004</v>
      </c>
      <c r="DL96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13.697051489937687</v>
      </c>
    </row>
    <row r="97" spans="1:116" x14ac:dyDescent="0.2">
      <c r="A97">
        <v>242280</v>
      </c>
      <c r="B97" t="s">
        <v>838</v>
      </c>
      <c r="C97">
        <v>26</v>
      </c>
      <c r="D97">
        <v>4</v>
      </c>
      <c r="E97" s="1">
        <v>45919</v>
      </c>
      <c r="F97" t="s">
        <v>839</v>
      </c>
      <c r="G97">
        <v>0</v>
      </c>
      <c r="H97">
        <v>1</v>
      </c>
      <c r="I97" t="s">
        <v>840</v>
      </c>
      <c r="J97" t="s">
        <v>835</v>
      </c>
      <c r="K97">
        <v>78</v>
      </c>
      <c r="L97">
        <v>81</v>
      </c>
      <c r="M97">
        <v>18500000</v>
      </c>
      <c r="N97">
        <v>46000</v>
      </c>
      <c r="O97">
        <v>25</v>
      </c>
      <c r="P97" s="1">
        <v>36396</v>
      </c>
      <c r="Q97">
        <v>181</v>
      </c>
      <c r="R97">
        <v>75</v>
      </c>
      <c r="S97">
        <v>31</v>
      </c>
      <c r="T97" t="s">
        <v>250</v>
      </c>
      <c r="U97">
        <v>1</v>
      </c>
      <c r="V97">
        <v>189</v>
      </c>
      <c r="W97" t="s">
        <v>503</v>
      </c>
      <c r="X97" t="s">
        <v>110</v>
      </c>
      <c r="Y97">
        <v>19</v>
      </c>
      <c r="AA97" s="1">
        <v>44754</v>
      </c>
      <c r="AB97">
        <v>2027</v>
      </c>
      <c r="AC97">
        <v>42</v>
      </c>
      <c r="AD97" t="s">
        <v>333</v>
      </c>
      <c r="AE97">
        <v>1359</v>
      </c>
      <c r="AF97" t="s">
        <v>122</v>
      </c>
      <c r="AG97">
        <v>19</v>
      </c>
      <c r="AH97" t="s">
        <v>2</v>
      </c>
      <c r="AI97">
        <v>4</v>
      </c>
      <c r="AJ97">
        <v>3</v>
      </c>
      <c r="AK97">
        <v>1</v>
      </c>
      <c r="AM97" t="s">
        <v>3</v>
      </c>
      <c r="AN97" t="s">
        <v>254</v>
      </c>
      <c r="AO97">
        <v>32799999</v>
      </c>
      <c r="AQ97">
        <v>0</v>
      </c>
      <c r="AR97" t="s">
        <v>663</v>
      </c>
      <c r="AS97">
        <v>72</v>
      </c>
      <c r="AT97">
        <v>78</v>
      </c>
      <c r="AU97">
        <v>74</v>
      </c>
      <c r="AV97">
        <v>78</v>
      </c>
      <c r="AW97">
        <v>72</v>
      </c>
      <c r="AX97">
        <v>75</v>
      </c>
      <c r="AY97">
        <v>67</v>
      </c>
      <c r="AZ97">
        <v>78</v>
      </c>
      <c r="BA97">
        <v>76</v>
      </c>
      <c r="BB97">
        <v>79</v>
      </c>
      <c r="BC97">
        <v>76</v>
      </c>
      <c r="BD97">
        <v>78</v>
      </c>
      <c r="BE97">
        <v>69</v>
      </c>
      <c r="BF97">
        <v>67</v>
      </c>
      <c r="BG97">
        <v>76</v>
      </c>
      <c r="BH97">
        <v>81</v>
      </c>
      <c r="BI97">
        <v>72</v>
      </c>
      <c r="BJ97">
        <v>72</v>
      </c>
      <c r="BK97">
        <v>78</v>
      </c>
      <c r="BL97">
        <v>72</v>
      </c>
      <c r="BM97">
        <v>73</v>
      </c>
      <c r="BN97">
        <v>78</v>
      </c>
      <c r="BO97">
        <v>81</v>
      </c>
      <c r="BP97">
        <v>77</v>
      </c>
      <c r="BQ97">
        <v>70</v>
      </c>
      <c r="BR97">
        <v>76</v>
      </c>
      <c r="BS97">
        <v>85</v>
      </c>
      <c r="BT97">
        <v>74</v>
      </c>
      <c r="BU97">
        <v>84</v>
      </c>
      <c r="BV97">
        <v>76</v>
      </c>
      <c r="BW97">
        <v>80</v>
      </c>
      <c r="BX97">
        <v>75</v>
      </c>
      <c r="BY97">
        <v>67</v>
      </c>
      <c r="BZ97">
        <v>76</v>
      </c>
      <c r="CA97">
        <v>68</v>
      </c>
      <c r="CB97">
        <v>6</v>
      </c>
      <c r="CC97">
        <v>11</v>
      </c>
      <c r="CD97">
        <v>6</v>
      </c>
      <c r="CE97">
        <v>14</v>
      </c>
      <c r="CF97">
        <v>14</v>
      </c>
      <c r="CH97" t="s">
        <v>81</v>
      </c>
      <c r="CI97" t="s">
        <v>81</v>
      </c>
      <c r="CJ97" t="s">
        <v>81</v>
      </c>
      <c r="CK97" t="s">
        <v>43</v>
      </c>
      <c r="CL97" t="s">
        <v>66</v>
      </c>
      <c r="CM97" t="s">
        <v>66</v>
      </c>
      <c r="CN97" t="s">
        <v>66</v>
      </c>
      <c r="CO97" t="s">
        <v>43</v>
      </c>
      <c r="CP97" t="s">
        <v>62</v>
      </c>
      <c r="CQ97" t="s">
        <v>62</v>
      </c>
      <c r="CR97" t="s">
        <v>62</v>
      </c>
      <c r="CS97" t="s">
        <v>63</v>
      </c>
      <c r="CT97" t="s">
        <v>62</v>
      </c>
      <c r="CU97" t="s">
        <v>62</v>
      </c>
      <c r="CV97" t="s">
        <v>62</v>
      </c>
      <c r="CW97" t="s">
        <v>63</v>
      </c>
      <c r="CX97" t="s">
        <v>60</v>
      </c>
      <c r="CY97" t="s">
        <v>64</v>
      </c>
      <c r="CZ97" t="s">
        <v>64</v>
      </c>
      <c r="DA97" t="s">
        <v>64</v>
      </c>
      <c r="DB97" t="s">
        <v>60</v>
      </c>
      <c r="DC97" t="s">
        <v>60</v>
      </c>
      <c r="DD97" t="s">
        <v>54</v>
      </c>
      <c r="DE97" t="s">
        <v>54</v>
      </c>
      <c r="DF97" t="s">
        <v>54</v>
      </c>
      <c r="DG97" t="s">
        <v>60</v>
      </c>
      <c r="DH97" t="s">
        <v>70</v>
      </c>
      <c r="DI97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13.040253199999999</v>
      </c>
      <c r="DJ97" t="s">
        <v>841</v>
      </c>
      <c r="DK97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2.7469256100000004</v>
      </c>
      <c r="DL97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13.183450745909068</v>
      </c>
    </row>
    <row r="98" spans="1:116" x14ac:dyDescent="0.2">
      <c r="A98">
        <v>201389</v>
      </c>
      <c r="B98" t="s">
        <v>842</v>
      </c>
      <c r="C98">
        <v>26</v>
      </c>
      <c r="D98">
        <v>4</v>
      </c>
      <c r="E98" s="1">
        <v>45919</v>
      </c>
      <c r="F98" t="s">
        <v>843</v>
      </c>
      <c r="G98">
        <v>1</v>
      </c>
      <c r="H98">
        <v>0</v>
      </c>
      <c r="I98" t="s">
        <v>844</v>
      </c>
      <c r="J98" t="s">
        <v>82</v>
      </c>
      <c r="K98">
        <v>78</v>
      </c>
      <c r="L98">
        <v>78</v>
      </c>
      <c r="M98">
        <v>9500000</v>
      </c>
      <c r="N98">
        <v>40000</v>
      </c>
      <c r="O98">
        <v>32</v>
      </c>
      <c r="P98" s="1">
        <v>33848</v>
      </c>
      <c r="Q98">
        <v>185</v>
      </c>
      <c r="R98">
        <v>78</v>
      </c>
      <c r="S98">
        <v>31</v>
      </c>
      <c r="T98" t="s">
        <v>250</v>
      </c>
      <c r="U98">
        <v>1</v>
      </c>
      <c r="V98">
        <v>54</v>
      </c>
      <c r="W98" t="s">
        <v>533</v>
      </c>
      <c r="X98" t="s">
        <v>83</v>
      </c>
      <c r="Y98">
        <v>34</v>
      </c>
      <c r="AA98" s="1">
        <v>45839</v>
      </c>
      <c r="AB98">
        <v>2027</v>
      </c>
      <c r="AC98">
        <v>27</v>
      </c>
      <c r="AD98" t="s">
        <v>267</v>
      </c>
      <c r="AH98" t="s">
        <v>18</v>
      </c>
      <c r="AI98">
        <v>3</v>
      </c>
      <c r="AJ98">
        <v>3</v>
      </c>
      <c r="AK98">
        <v>2</v>
      </c>
      <c r="AM98" t="s">
        <v>88</v>
      </c>
      <c r="AN98" t="s">
        <v>254</v>
      </c>
      <c r="AO98">
        <v>16200000</v>
      </c>
      <c r="AQ98">
        <v>0</v>
      </c>
      <c r="AR98" t="s">
        <v>845</v>
      </c>
      <c r="AS98">
        <v>72</v>
      </c>
      <c r="AT98">
        <v>69</v>
      </c>
      <c r="AU98">
        <v>78</v>
      </c>
      <c r="AV98">
        <v>76</v>
      </c>
      <c r="AW98">
        <v>76</v>
      </c>
      <c r="AX98">
        <v>71</v>
      </c>
      <c r="AY98">
        <v>85</v>
      </c>
      <c r="AZ98">
        <v>58</v>
      </c>
      <c r="BA98">
        <v>70</v>
      </c>
      <c r="BB98">
        <v>77</v>
      </c>
      <c r="BC98">
        <v>54</v>
      </c>
      <c r="BD98">
        <v>76</v>
      </c>
      <c r="BE98">
        <v>82</v>
      </c>
      <c r="BF98">
        <v>88</v>
      </c>
      <c r="BG98">
        <v>75</v>
      </c>
      <c r="BH98">
        <v>78</v>
      </c>
      <c r="BI98">
        <v>73</v>
      </c>
      <c r="BJ98">
        <v>71</v>
      </c>
      <c r="BK98">
        <v>71</v>
      </c>
      <c r="BL98">
        <v>77</v>
      </c>
      <c r="BM98">
        <v>70</v>
      </c>
      <c r="BN98">
        <v>82</v>
      </c>
      <c r="BO98">
        <v>75</v>
      </c>
      <c r="BP98">
        <v>76</v>
      </c>
      <c r="BQ98">
        <v>66</v>
      </c>
      <c r="BR98">
        <v>80</v>
      </c>
      <c r="BS98">
        <v>75</v>
      </c>
      <c r="BT98">
        <v>77</v>
      </c>
      <c r="BU98">
        <v>73</v>
      </c>
      <c r="BV98">
        <v>72</v>
      </c>
      <c r="BW98">
        <v>75</v>
      </c>
      <c r="BX98">
        <v>82</v>
      </c>
      <c r="BY98">
        <v>78</v>
      </c>
      <c r="BZ98">
        <v>76</v>
      </c>
      <c r="CA98">
        <v>74</v>
      </c>
      <c r="CB98">
        <v>12</v>
      </c>
      <c r="CC98">
        <v>6</v>
      </c>
      <c r="CD98">
        <v>14</v>
      </c>
      <c r="CE98">
        <v>10</v>
      </c>
      <c r="CF98">
        <v>7</v>
      </c>
      <c r="CH98" t="s">
        <v>61</v>
      </c>
      <c r="CI98" t="s">
        <v>61</v>
      </c>
      <c r="CJ98" t="s">
        <v>61</v>
      </c>
      <c r="CK98" t="s">
        <v>21</v>
      </c>
      <c r="CL98" t="s">
        <v>21</v>
      </c>
      <c r="CM98" t="s">
        <v>21</v>
      </c>
      <c r="CN98" t="s">
        <v>21</v>
      </c>
      <c r="CO98" t="s">
        <v>21</v>
      </c>
      <c r="CP98" t="s">
        <v>54</v>
      </c>
      <c r="CQ98" t="s">
        <v>54</v>
      </c>
      <c r="CR98" t="s">
        <v>54</v>
      </c>
      <c r="CS98" t="s">
        <v>64</v>
      </c>
      <c r="CT98" t="s">
        <v>63</v>
      </c>
      <c r="CU98" t="s">
        <v>63</v>
      </c>
      <c r="CV98" t="s">
        <v>63</v>
      </c>
      <c r="CW98" t="s">
        <v>64</v>
      </c>
      <c r="CX98" t="s">
        <v>98</v>
      </c>
      <c r="CY98" t="s">
        <v>63</v>
      </c>
      <c r="CZ98" t="s">
        <v>63</v>
      </c>
      <c r="DA98" t="s">
        <v>63</v>
      </c>
      <c r="DB98" t="s">
        <v>98</v>
      </c>
      <c r="DC98" t="s">
        <v>63</v>
      </c>
      <c r="DD98" t="s">
        <v>64</v>
      </c>
      <c r="DE98" t="s">
        <v>64</v>
      </c>
      <c r="DF98" t="s">
        <v>64</v>
      </c>
      <c r="DG98" t="s">
        <v>63</v>
      </c>
      <c r="DH98" t="s">
        <v>75</v>
      </c>
      <c r="DI98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12.9523577</v>
      </c>
      <c r="DJ98" t="s">
        <v>846</v>
      </c>
      <c r="DK98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2.8881057656249998</v>
      </c>
      <c r="DL98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13.09161036293442</v>
      </c>
    </row>
    <row r="99" spans="1:116" x14ac:dyDescent="0.2">
      <c r="A99">
        <v>251530</v>
      </c>
      <c r="B99" t="s">
        <v>847</v>
      </c>
      <c r="C99">
        <v>26</v>
      </c>
      <c r="D99">
        <v>4</v>
      </c>
      <c r="E99" s="1">
        <v>45919</v>
      </c>
      <c r="F99" t="s">
        <v>848</v>
      </c>
      <c r="G99">
        <v>1</v>
      </c>
      <c r="H99">
        <v>0</v>
      </c>
      <c r="I99" t="s">
        <v>849</v>
      </c>
      <c r="J99" t="s">
        <v>82</v>
      </c>
      <c r="K99">
        <v>78</v>
      </c>
      <c r="L99">
        <v>81</v>
      </c>
      <c r="M99">
        <v>17000000</v>
      </c>
      <c r="N99">
        <v>31000</v>
      </c>
      <c r="O99">
        <v>25</v>
      </c>
      <c r="P99" s="1">
        <v>36551</v>
      </c>
      <c r="Q99">
        <v>183</v>
      </c>
      <c r="R99">
        <v>75</v>
      </c>
      <c r="S99">
        <v>31</v>
      </c>
      <c r="T99" t="s">
        <v>250</v>
      </c>
      <c r="U99">
        <v>1</v>
      </c>
      <c r="V99">
        <v>46</v>
      </c>
      <c r="W99" t="s">
        <v>365</v>
      </c>
      <c r="X99" t="s">
        <v>83</v>
      </c>
      <c r="Y99">
        <v>17</v>
      </c>
      <c r="AA99" s="1">
        <v>45839</v>
      </c>
      <c r="AB99">
        <v>2029</v>
      </c>
      <c r="AC99">
        <v>38</v>
      </c>
      <c r="AD99" t="s">
        <v>389</v>
      </c>
      <c r="AH99" t="s">
        <v>18</v>
      </c>
      <c r="AI99">
        <v>4</v>
      </c>
      <c r="AJ99">
        <v>3</v>
      </c>
      <c r="AK99">
        <v>1</v>
      </c>
      <c r="AM99" t="s">
        <v>3</v>
      </c>
      <c r="AN99" t="s">
        <v>254</v>
      </c>
      <c r="AO99">
        <v>30200000</v>
      </c>
      <c r="AQ99">
        <v>0</v>
      </c>
      <c r="AR99" t="s">
        <v>850</v>
      </c>
      <c r="AS99">
        <v>88</v>
      </c>
      <c r="AT99">
        <v>67</v>
      </c>
      <c r="AU99">
        <v>72</v>
      </c>
      <c r="AV99">
        <v>80</v>
      </c>
      <c r="AW99">
        <v>70</v>
      </c>
      <c r="AX99">
        <v>77</v>
      </c>
      <c r="AY99">
        <v>86</v>
      </c>
      <c r="AZ99">
        <v>61</v>
      </c>
      <c r="BA99">
        <v>58</v>
      </c>
      <c r="BB99">
        <v>73</v>
      </c>
      <c r="BC99">
        <v>51</v>
      </c>
      <c r="BD99">
        <v>83</v>
      </c>
      <c r="BE99">
        <v>79</v>
      </c>
      <c r="BF99">
        <v>66</v>
      </c>
      <c r="BG99">
        <v>67</v>
      </c>
      <c r="BH99">
        <v>79</v>
      </c>
      <c r="BI99">
        <v>87</v>
      </c>
      <c r="BJ99">
        <v>89</v>
      </c>
      <c r="BK99">
        <v>79</v>
      </c>
      <c r="BL99">
        <v>75</v>
      </c>
      <c r="BM99">
        <v>63</v>
      </c>
      <c r="BN99">
        <v>83</v>
      </c>
      <c r="BO99">
        <v>82</v>
      </c>
      <c r="BP99">
        <v>81</v>
      </c>
      <c r="BQ99">
        <v>77</v>
      </c>
      <c r="BR99">
        <v>74</v>
      </c>
      <c r="BS99">
        <v>73</v>
      </c>
      <c r="BT99">
        <v>65</v>
      </c>
      <c r="BU99">
        <v>76</v>
      </c>
      <c r="BV99">
        <v>62</v>
      </c>
      <c r="BW99">
        <v>42</v>
      </c>
      <c r="BX99">
        <v>75</v>
      </c>
      <c r="BY99">
        <v>69</v>
      </c>
      <c r="BZ99">
        <v>76</v>
      </c>
      <c r="CA99">
        <v>74</v>
      </c>
      <c r="CB99">
        <v>8</v>
      </c>
      <c r="CC99">
        <v>13</v>
      </c>
      <c r="CD99">
        <v>6</v>
      </c>
      <c r="CE99">
        <v>12</v>
      </c>
      <c r="CF99">
        <v>13</v>
      </c>
      <c r="CH99" t="s">
        <v>60</v>
      </c>
      <c r="CI99" t="s">
        <v>60</v>
      </c>
      <c r="CJ99" t="s">
        <v>60</v>
      </c>
      <c r="CK99" t="s">
        <v>43</v>
      </c>
      <c r="CL99" t="s">
        <v>119</v>
      </c>
      <c r="CM99" t="s">
        <v>119</v>
      </c>
      <c r="CN99" t="s">
        <v>119</v>
      </c>
      <c r="CO99" t="s">
        <v>43</v>
      </c>
      <c r="CP99" t="s">
        <v>54</v>
      </c>
      <c r="CQ99" t="s">
        <v>54</v>
      </c>
      <c r="CR99" t="s">
        <v>54</v>
      </c>
      <c r="CS99" t="s">
        <v>62</v>
      </c>
      <c r="CT99" t="s">
        <v>60</v>
      </c>
      <c r="CU99" t="s">
        <v>60</v>
      </c>
      <c r="CV99" t="s">
        <v>60</v>
      </c>
      <c r="CW99" t="s">
        <v>62</v>
      </c>
      <c r="CX99" t="s">
        <v>81</v>
      </c>
      <c r="CY99" t="s">
        <v>61</v>
      </c>
      <c r="CZ99" t="s">
        <v>61</v>
      </c>
      <c r="DA99" t="s">
        <v>61</v>
      </c>
      <c r="DB99" t="s">
        <v>81</v>
      </c>
      <c r="DC99" t="s">
        <v>63</v>
      </c>
      <c r="DD99" t="s">
        <v>61</v>
      </c>
      <c r="DE99" t="s">
        <v>61</v>
      </c>
      <c r="DF99" t="s">
        <v>61</v>
      </c>
      <c r="DG99" t="s">
        <v>63</v>
      </c>
      <c r="DH99" t="s">
        <v>70</v>
      </c>
      <c r="DI99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14.079969799999999</v>
      </c>
      <c r="DJ99" t="s">
        <v>851</v>
      </c>
      <c r="DK99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2.5814584056249998</v>
      </c>
      <c r="DL99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14.274634675558099</v>
      </c>
    </row>
    <row r="100" spans="1:116" x14ac:dyDescent="0.2">
      <c r="A100">
        <v>202884</v>
      </c>
      <c r="B100" t="s">
        <v>852</v>
      </c>
      <c r="C100">
        <v>26</v>
      </c>
      <c r="D100">
        <v>4</v>
      </c>
      <c r="E100" s="1">
        <v>45919</v>
      </c>
      <c r="F100" t="s">
        <v>853</v>
      </c>
      <c r="G100">
        <v>1</v>
      </c>
      <c r="H100">
        <v>0</v>
      </c>
      <c r="I100" t="s">
        <v>854</v>
      </c>
      <c r="J100" t="s">
        <v>82</v>
      </c>
      <c r="K100">
        <v>78</v>
      </c>
      <c r="L100">
        <v>78</v>
      </c>
      <c r="M100">
        <v>9500000</v>
      </c>
      <c r="N100">
        <v>81000</v>
      </c>
      <c r="O100">
        <v>32</v>
      </c>
      <c r="P100" s="1">
        <v>34053</v>
      </c>
      <c r="Q100">
        <v>186</v>
      </c>
      <c r="R100">
        <v>75</v>
      </c>
      <c r="S100">
        <v>31</v>
      </c>
      <c r="T100" t="s">
        <v>250</v>
      </c>
      <c r="U100">
        <v>1</v>
      </c>
      <c r="V100">
        <v>48</v>
      </c>
      <c r="W100" t="s">
        <v>278</v>
      </c>
      <c r="X100" t="s">
        <v>83</v>
      </c>
      <c r="Y100">
        <v>37</v>
      </c>
      <c r="AA100" s="1">
        <v>45483</v>
      </c>
      <c r="AB100">
        <v>2026</v>
      </c>
      <c r="AC100">
        <v>27</v>
      </c>
      <c r="AD100" t="s">
        <v>267</v>
      </c>
      <c r="AH100" t="s">
        <v>2</v>
      </c>
      <c r="AI100">
        <v>4</v>
      </c>
      <c r="AJ100">
        <v>4</v>
      </c>
      <c r="AK100">
        <v>3</v>
      </c>
      <c r="AM100" t="s">
        <v>127</v>
      </c>
      <c r="AN100" t="s">
        <v>254</v>
      </c>
      <c r="AO100">
        <v>16200000</v>
      </c>
      <c r="AQ100">
        <v>0</v>
      </c>
      <c r="AR100" t="s">
        <v>129</v>
      </c>
      <c r="AS100">
        <v>85</v>
      </c>
      <c r="AT100">
        <v>65</v>
      </c>
      <c r="AU100">
        <v>73</v>
      </c>
      <c r="AV100">
        <v>77</v>
      </c>
      <c r="AW100">
        <v>76</v>
      </c>
      <c r="AX100">
        <v>67</v>
      </c>
      <c r="AY100">
        <v>79</v>
      </c>
      <c r="AZ100">
        <v>60</v>
      </c>
      <c r="BA100">
        <v>68</v>
      </c>
      <c r="BB100">
        <v>76</v>
      </c>
      <c r="BC100">
        <v>64</v>
      </c>
      <c r="BD100">
        <v>78</v>
      </c>
      <c r="BE100">
        <v>66</v>
      </c>
      <c r="BF100">
        <v>45</v>
      </c>
      <c r="BG100">
        <v>69</v>
      </c>
      <c r="BH100">
        <v>78</v>
      </c>
      <c r="BI100">
        <v>84</v>
      </c>
      <c r="BJ100">
        <v>86</v>
      </c>
      <c r="BK100">
        <v>76</v>
      </c>
      <c r="BL100">
        <v>74</v>
      </c>
      <c r="BM100">
        <v>66</v>
      </c>
      <c r="BN100">
        <v>71</v>
      </c>
      <c r="BO100">
        <v>78</v>
      </c>
      <c r="BP100">
        <v>67</v>
      </c>
      <c r="BQ100">
        <v>64</v>
      </c>
      <c r="BR100">
        <v>68</v>
      </c>
      <c r="BS100">
        <v>71</v>
      </c>
      <c r="BT100">
        <v>77</v>
      </c>
      <c r="BU100">
        <v>76</v>
      </c>
      <c r="BV100">
        <v>74</v>
      </c>
      <c r="BW100">
        <v>59</v>
      </c>
      <c r="BX100">
        <v>75</v>
      </c>
      <c r="BY100">
        <v>75</v>
      </c>
      <c r="BZ100">
        <v>78</v>
      </c>
      <c r="CA100">
        <v>74</v>
      </c>
      <c r="CB100">
        <v>11</v>
      </c>
      <c r="CC100">
        <v>13</v>
      </c>
      <c r="CD100">
        <v>12</v>
      </c>
      <c r="CE100">
        <v>15</v>
      </c>
      <c r="CF100">
        <v>14</v>
      </c>
      <c r="CH100" t="s">
        <v>282</v>
      </c>
      <c r="CI100" t="s">
        <v>282</v>
      </c>
      <c r="CJ100" t="s">
        <v>282</v>
      </c>
      <c r="CK100" t="s">
        <v>97</v>
      </c>
      <c r="CL100" t="s">
        <v>119</v>
      </c>
      <c r="CM100" t="s">
        <v>119</v>
      </c>
      <c r="CN100" t="s">
        <v>119</v>
      </c>
      <c r="CO100" t="s">
        <v>97</v>
      </c>
      <c r="CP100" t="s">
        <v>25</v>
      </c>
      <c r="CQ100" t="s">
        <v>25</v>
      </c>
      <c r="CR100" t="s">
        <v>25</v>
      </c>
      <c r="CS100" t="s">
        <v>63</v>
      </c>
      <c r="CT100" t="s">
        <v>23</v>
      </c>
      <c r="CU100" t="s">
        <v>23</v>
      </c>
      <c r="CV100" t="s">
        <v>23</v>
      </c>
      <c r="CW100" t="s">
        <v>63</v>
      </c>
      <c r="CX100" t="s">
        <v>63</v>
      </c>
      <c r="CY100" t="s">
        <v>23</v>
      </c>
      <c r="CZ100" t="s">
        <v>23</v>
      </c>
      <c r="DA100" t="s">
        <v>23</v>
      </c>
      <c r="DB100" t="s">
        <v>63</v>
      </c>
      <c r="DC100" t="s">
        <v>63</v>
      </c>
      <c r="DD100" t="s">
        <v>23</v>
      </c>
      <c r="DE100" t="s">
        <v>23</v>
      </c>
      <c r="DF100" t="s">
        <v>23</v>
      </c>
      <c r="DG100" t="s">
        <v>63</v>
      </c>
      <c r="DH100" t="s">
        <v>32</v>
      </c>
      <c r="DI100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13.854143200000001</v>
      </c>
      <c r="DJ100" t="s">
        <v>855</v>
      </c>
      <c r="DK100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2.6383176506249999</v>
      </c>
      <c r="DL100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14.016710354926916</v>
      </c>
    </row>
    <row r="101" spans="1:116" x14ac:dyDescent="0.2">
      <c r="A101">
        <v>224031</v>
      </c>
      <c r="B101" t="s">
        <v>856</v>
      </c>
      <c r="C101">
        <v>26</v>
      </c>
      <c r="D101">
        <v>4</v>
      </c>
      <c r="E101" s="1">
        <v>45919</v>
      </c>
      <c r="F101" t="s">
        <v>857</v>
      </c>
      <c r="G101">
        <v>1</v>
      </c>
      <c r="H101">
        <v>0</v>
      </c>
      <c r="I101" t="s">
        <v>858</v>
      </c>
      <c r="J101" t="s">
        <v>90</v>
      </c>
      <c r="K101">
        <v>78</v>
      </c>
      <c r="L101">
        <v>78</v>
      </c>
      <c r="M101">
        <v>9500000</v>
      </c>
      <c r="N101">
        <v>34000</v>
      </c>
      <c r="O101">
        <v>32</v>
      </c>
      <c r="P101" s="1">
        <v>33894</v>
      </c>
      <c r="Q101">
        <v>185</v>
      </c>
      <c r="R101">
        <v>81</v>
      </c>
      <c r="S101">
        <v>31</v>
      </c>
      <c r="T101" t="s">
        <v>250</v>
      </c>
      <c r="U101">
        <v>1</v>
      </c>
      <c r="V101">
        <v>46</v>
      </c>
      <c r="W101" t="s">
        <v>365</v>
      </c>
      <c r="X101" t="s">
        <v>56</v>
      </c>
      <c r="Y101">
        <v>77</v>
      </c>
      <c r="AA101" s="1">
        <v>42917</v>
      </c>
      <c r="AB101">
        <v>2026</v>
      </c>
      <c r="AC101">
        <v>15</v>
      </c>
      <c r="AD101" t="s">
        <v>859</v>
      </c>
      <c r="AH101" t="s">
        <v>2</v>
      </c>
      <c r="AI101">
        <v>4</v>
      </c>
      <c r="AJ101">
        <v>3</v>
      </c>
      <c r="AK101">
        <v>2</v>
      </c>
      <c r="AM101" t="s">
        <v>88</v>
      </c>
      <c r="AN101" t="s">
        <v>4</v>
      </c>
      <c r="AO101">
        <v>16200000</v>
      </c>
      <c r="AQ101">
        <v>0</v>
      </c>
      <c r="AR101" t="s">
        <v>860</v>
      </c>
      <c r="AS101">
        <v>80</v>
      </c>
      <c r="AT101">
        <v>66</v>
      </c>
      <c r="AU101">
        <v>67</v>
      </c>
      <c r="AV101">
        <v>74</v>
      </c>
      <c r="AW101">
        <v>75</v>
      </c>
      <c r="AX101">
        <v>77</v>
      </c>
      <c r="AY101">
        <v>76</v>
      </c>
      <c r="AZ101">
        <v>56</v>
      </c>
      <c r="BA101">
        <v>74</v>
      </c>
      <c r="BB101">
        <v>71</v>
      </c>
      <c r="BC101">
        <v>68</v>
      </c>
      <c r="BD101">
        <v>75</v>
      </c>
      <c r="BE101">
        <v>76</v>
      </c>
      <c r="BF101">
        <v>54</v>
      </c>
      <c r="BG101">
        <v>55</v>
      </c>
      <c r="BH101">
        <v>76</v>
      </c>
      <c r="BI101">
        <v>79</v>
      </c>
      <c r="BJ101">
        <v>80</v>
      </c>
      <c r="BK101">
        <v>64</v>
      </c>
      <c r="BL101">
        <v>76</v>
      </c>
      <c r="BM101">
        <v>70</v>
      </c>
      <c r="BN101">
        <v>79</v>
      </c>
      <c r="BO101">
        <v>86</v>
      </c>
      <c r="BP101">
        <v>77</v>
      </c>
      <c r="BQ101">
        <v>77</v>
      </c>
      <c r="BR101">
        <v>77</v>
      </c>
      <c r="BS101">
        <v>76</v>
      </c>
      <c r="BT101">
        <v>75</v>
      </c>
      <c r="BU101">
        <v>69</v>
      </c>
      <c r="BV101">
        <v>60</v>
      </c>
      <c r="BW101">
        <v>58</v>
      </c>
      <c r="BX101">
        <v>75</v>
      </c>
      <c r="BY101">
        <v>74</v>
      </c>
      <c r="BZ101">
        <v>76</v>
      </c>
      <c r="CA101">
        <v>75</v>
      </c>
      <c r="CB101">
        <v>8</v>
      </c>
      <c r="CC101">
        <v>9</v>
      </c>
      <c r="CD101">
        <v>7</v>
      </c>
      <c r="CE101">
        <v>10</v>
      </c>
      <c r="CF101">
        <v>10</v>
      </c>
      <c r="CH101" t="s">
        <v>61</v>
      </c>
      <c r="CI101" t="s">
        <v>61</v>
      </c>
      <c r="CJ101" t="s">
        <v>61</v>
      </c>
      <c r="CK101" t="s">
        <v>22</v>
      </c>
      <c r="CL101" t="s">
        <v>22</v>
      </c>
      <c r="CM101" t="s">
        <v>22</v>
      </c>
      <c r="CN101" t="s">
        <v>22</v>
      </c>
      <c r="CO101" t="s">
        <v>22</v>
      </c>
      <c r="CP101" t="s">
        <v>59</v>
      </c>
      <c r="CQ101" t="s">
        <v>59</v>
      </c>
      <c r="CR101" t="s">
        <v>59</v>
      </c>
      <c r="CS101" t="s">
        <v>61</v>
      </c>
      <c r="CT101" t="s">
        <v>59</v>
      </c>
      <c r="CU101" t="s">
        <v>59</v>
      </c>
      <c r="CV101" t="s">
        <v>59</v>
      </c>
      <c r="CW101" t="s">
        <v>61</v>
      </c>
      <c r="CX101" t="s">
        <v>63</v>
      </c>
      <c r="CY101" t="s">
        <v>61</v>
      </c>
      <c r="CZ101" t="s">
        <v>61</v>
      </c>
      <c r="DA101" t="s">
        <v>61</v>
      </c>
      <c r="DB101" t="s">
        <v>63</v>
      </c>
      <c r="DC101" t="s">
        <v>63</v>
      </c>
      <c r="DD101" t="s">
        <v>63</v>
      </c>
      <c r="DE101" t="s">
        <v>63</v>
      </c>
      <c r="DF101" t="s">
        <v>63</v>
      </c>
      <c r="DG101" t="s">
        <v>63</v>
      </c>
      <c r="DH101" t="s">
        <v>128</v>
      </c>
      <c r="DI101" s="2">
        <f>1.573405+0.0508405*Table1[[#This Row],[pace]] +0.0157776*Table1[[#This Row],[attacking_heading_accuracy]] +0.0178237*Table1[[#This Row],[passing]]+0.0113991*Table1[[#This Row],[dribbling]] +0.0362758*Table1[[#This Row],[power_strength]]+0.1658073*Table1[[#This Row],[weak_foot]]+0.2568779*Table1[[#This Row],[skill_moves]]+0.6951661*Table1[[#This Row],[Defender]]+0.4259821*Table1[[#This Row],[Midfielder]]+0.1161503*Table1[[#This Row],[Finesse_Shot]]</f>
        <v>13.7681743</v>
      </c>
      <c r="DJ101" t="s">
        <v>861</v>
      </c>
      <c r="DK101">
        <f xml:space="preserve"> (Table1[[#This Row],[mentality_vision]]/100) + 0.809*(Table1[[#This Row],[skill_curve]]/100) + (0.75*(Table1[[#This Row],[attacking_short_passing]]/100) + 0.25*(Table1[[#This Row],[attacking_crossing]]/100)) + (0.625*(Table1[[#This Row],[skill_long_passing]]/100) + 0.1875*(Table1[[#This Row],[skill_fk_accuracy]]/100) + 0.1875*(Table1[[#This Row],[attacking_crossing]]/100)) - ((1 - ((0.75*(Table1[[#This Row],[attacking_short_passing]]/100) + 0.25*(Table1[[#This Row],[attacking_crossing]]/100) - (0.625*(Table1[[#This Row],[skill_long_passing]]/100) + 0.1875*(Table1[[#This Row],[skill_fk_accuracy]]/100) + 0.1875*(Table1[[#This Row],[attacking_crossing]]/100)))^2))  * ((1 - (Table1[[#This Row],[mentality_vision]]/100))^2))</f>
        <v>2.367756</v>
      </c>
      <c r="DL101">
        <f>1.585332 + 0.008219*Table1[[#This Row],[power_jumping]]+ 0.047559*Table1[[#This Row],[pace]] + 0.012348*Table1[[#This Row],[attacking_heading_accuracy]] + 0.362187*Table1[[#This Row],[develle_mcharo_passing]] + 0.015238*Table1[[#This Row],[dribbling]] + 0.189748*Table1[[#This Row],[weak_foot]] + 0.033917*Table1[[#This Row],[power_strength]] + 0.26019*Table1[[#This Row],[skill_moves]] + 0.808787*Table1[[#This Row],[Defender]] + 0.472467*Table1[[#This Row],[Midfielder]] + 0.081427*Table1[[#This Row],[Finesse_Shot]]</f>
        <v>13.955778442371999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Mcharo, Solomon K</dc:creator>
  <cp:lastModifiedBy>Mcharo, Solomon K</cp:lastModifiedBy>
  <dcterms:created xsi:type="dcterms:W3CDTF">2026-01-15T06:52:46Z</dcterms:created>
  <dcterms:modified xsi:type="dcterms:W3CDTF">2026-03-19T09:16:17Z</dcterms:modified>
</cp:coreProperties>
</file>